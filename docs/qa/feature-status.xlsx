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458a6332622418c" /><Relationship Type="http://schemas.openxmlformats.org/package/2006/relationships/metadata/core-properties" Target="/docProps/core.xml" Id="R9a797c18b1ee4e53" /><Relationship Type="http://schemas.openxmlformats.org/officeDocument/2006/relationships/extended-properties" Target="/docProps/app.xml" Id="R6cda6c57c7b74a70" /><Relationship Type="http://schemas.openxmlformats.org/officeDocument/2006/relationships/custom-properties" Target="/docProps/custom.xml" Id="R34da1c6e90ee4875"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Stories" sheetId="1" r:id="rId1"/>
  </x:sheets>
  <x:definedNames>
    <x:definedName name="_xlnm.Print_Titles" localSheetId="0">Stories!$1:$6</x:definedName>
  </x:definedNames>
  <x:calcPr fullCalcOnLoad="1"/>
</x:workbook>
</file>

<file path=xl/styles.xml><?xml version="1.0" encoding="utf-8"?>
<x:styleSheet xmlns:x="http://schemas.openxmlformats.org/spreadsheetml/2006/main">
  <x:numFmts count="0"/>
  <x:fonts count="4">
    <x:font>
      <x:sz val="11"/>
      <x:name val="Calibri"/>
    </x:font>
    <x:font>
      <x:b/>
      <x:sz val="18"/>
      <x:name val="Calibri"/>
    </x:font>
    <x:font>
      <x:b/>
      <x:sz val="11"/>
      <x:color rgb="FFFFFFFF"/>
      <x:name val="Calibri"/>
    </x:font>
    <x:font>
      <x:b/>
      <x:sz val="11"/>
      <x:name val="Calibri"/>
    </x:font>
  </x:fonts>
  <x:fills count="4">
    <x:fill>
      <x:patternFill patternType="none"/>
    </x:fill>
    <x:fill>
      <x:patternFill patternType="gray125"/>
    </x:fill>
    <x:fill>
      <x:patternFill patternType="solid">
        <x:fgColor rgb="FF17365D"/>
      </x:patternFill>
    </x:fill>
    <x:fill>
      <x:patternFill patternType="solid">
        <x:fgColor rgb="FFF2F6FA"/>
      </x:patternFill>
    </x:fill>
  </x:fills>
  <x:borders count="1">
    <x:border>
      <x:left/>
      <x:right/>
      <x:top/>
      <x:bottom/>
      <x:diagonal/>
    </x:border>
  </x:borders>
  <x:cellStyleXfs count="1">
    <x:xf numFmtId="0" fontId="0" fillId="0" borderId="0"/>
  </x:cellStyleXfs>
  <x:cellXfs count="6">
    <x:xf numFmtId="0" fontId="0" fillId="0" borderId="0"/>
    <x:xf numFmtId="0" fontId="0" fillId="0" borderId="0" applyFont="1" applyAlignment="1">
      <x:alignment vertical="top" wrapText="1"/>
    </x:xf>
    <x:xf numFmtId="0" fontId="1" fillId="0" borderId="0" applyFont="1" applyAlignment="1">
      <x:alignment vertical="top" wrapText="1"/>
    </x:xf>
    <x:xf numFmtId="0" fontId="2" fillId="2" borderId="0" applyFont="1" applyFill="1" applyAlignment="1">
      <x:alignment vertical="top" wrapText="1"/>
    </x:xf>
    <x:xf numFmtId="0" fontId="0" fillId="3" borderId="0" applyFont="1" applyFill="1" applyAlignment="1">
      <x:alignment vertical="top" wrapText="1"/>
    </x:xf>
    <x:xf numFmtId="0" fontId="3" fillId="0" borderId="0" applyFont="1" applyAlignment="1">
      <x:alignment vertical="top" wrapText="1"/>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theme" Target="/xl/theme/theme1.xml" Id="Rf1d7af25edbd41d3" /><Relationship Type="http://schemas.openxmlformats.org/officeDocument/2006/relationships/styles" Target="/xl/styles.xml" Id="R6b9ce22b22834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a:solidFill>
            <a:schemeClr val="phClr"/>
          </a:solidFill>
        </a:ln>
        <a:ln w="12700" cap="flat">
          <a:solidFill>
            <a:schemeClr val="phClr"/>
          </a:solidFill>
        </a:ln>
        <a:ln w="19050" cap="flat">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Pr>
    <x:pageSetUpPr fitToPage="1"/>
  </x:sheetPr>
  <x:sheetViews>
    <x:sheetView workbookViewId="0">
      <x:pane xSplit="2" ySplit="6" topLeftCell="C7" activePane="bottomRight" state="frozen"/>
    </x:sheetView>
  </x:sheetViews>
  <x:cols>
    <x:col min="1" max="1" width="14" customWidth="1"/>
    <x:col min="2" max="2" width="18" customWidth="1"/>
    <x:col min="3" max="3" width="48" customWidth="1"/>
    <x:col min="4" max="4" width="74" customWidth="1"/>
    <x:col min="5" max="5" width="15" customWidth="1"/>
    <x:col min="6" max="6" width="15" customWidth="1"/>
    <x:col min="7" max="7" width="17" customWidth="1"/>
    <x:col min="8" max="8" width="35" customWidth="1"/>
    <x:col min="9" max="9" width="55" customWidth="1"/>
    <x:col min="10" max="10" width="24" customWidth="1"/>
    <x:col min="11" max="11" width="58" customWidth="1"/>
    <x:col min="12" max="12" width="62" customWidth="1"/>
    <x:col min="13" max="13" width="65" customWidth="1"/>
    <x:col min="14" max="14" width="62" customWidth="1"/>
    <x:col min="15" max="15" width="24" customWidth="1"/>
  </x:cols>
  <x:sheetData>
    <x:row r="1" ht="34" customHeight="1">
      <x:c r="A1" s="2" t="str">
        <x:v>LinguaBridge 全機能・ユーザーストーリー検証台帳</x:v>
      </x:c>
      <x:c r="B1" s="1"/>
      <x:c r="C1" s="1"/>
      <x:c r="D1" s="1"/>
      <x:c r="E1" s="5" t="str">
        <x:v>全件</x:v>
      </x:c>
      <x:c r="F1" s="1">
        <x:f>COUNTA(A7:A102)</x:f>
        <x:v>96</x:v>
      </x:c>
      <x:c r="G1" s="5" t="str">
        <x:v>合格</x:v>
      </x:c>
      <x:c r="H1" s="1">
        <x:f>COUNTIF(F7:F102,"合格")</x:f>
        <x:v>1</x:v>
      </x:c>
      <x:c r="I1" s="5" t="str">
        <x:v>不合格</x:v>
      </x:c>
      <x:c r="J1" s="1">
        <x:f>COUNTIF(F7:F102,"不合格")</x:f>
        <x:v>16</x:v>
      </x:c>
      <x:c r="K1" s="5" t="str">
        <x:v>未実施</x:v>
      </x:c>
      <x:c r="L1" s="1">
        <x:f>COUNTIF(F7:F102,"未実施")</x:f>
        <x:v>0</x:v>
      </x:c>
      <x:c r="M1" s="5" t="str">
        <x:v>部分確認</x:v>
      </x:c>
      <x:c r="N1" s="1">
        <x:f>COUNTIF(F7:F102,"部分確認")</x:f>
        <x:v>77</x:v>
      </x:c>
      <x:c r="O1" s="1"/>
    </x:row>
    <x:row r="2">
      <x:c r="A2" s="1"/>
      <x:c r="B2" s="1"/>
      <x:c r="C2" s="1"/>
      <x:c r="D2" s="1"/>
      <x:c r="E2" s="5" t="str">
        <x:v>実行不可</x:v>
      </x:c>
      <x:c r="F2" s="1">
        <x:f>COUNTIF(F7:F102,"実行不可")</x:f>
        <x:v>0</x:v>
      </x:c>
      <x:c r="G2" s="5" t="str">
        <x:v>未実装</x:v>
      </x:c>
      <x:c r="H2" s="1">
        <x:f>COUNTIF(F7:F102,"未実装")</x:f>
        <x:v>2</x:v>
      </x:c>
      <x:c r="I2" s="1"/>
      <x:c r="J2" s="1"/>
      <x:c r="K2" s="1"/>
      <x:c r="L2" s="1"/>
      <x:c r="M2" s="1"/>
      <x:c r="N2" s="1"/>
      <x:c r="O2" s="1"/>
    </x:row>
    <x:row r="3" ht="24" customHeight="1">
      <x:c r="A3" s="1" t="str">
        <x:v>合格＝その行の合格条件を検証済み。部分確認＝自動テストの補助証拠のみ。実機・品質・長時間試験は別途必要。</x:v>
      </x:c>
      <x:c r="B3" s="1"/>
      <x:c r="C3" s="1"/>
      <x:c r="D3" s="1"/>
      <x:c r="E3" s="1"/>
      <x:c r="F3" s="1"/>
      <x:c r="G3" s="1"/>
      <x:c r="H3" s="1"/>
      <x:c r="I3" s="1"/>
      <x:c r="J3" s="1"/>
      <x:c r="K3" s="1"/>
      <x:c r="L3" s="1"/>
      <x:c r="M3" s="1"/>
      <x:c r="N3" s="1"/>
      <x:c r="O3" s="1"/>
    </x:row>
    <x:row r="4" ht="24" customHeight="1">
      <x:c r="A4" s="1" t="str">
        <x:v>F列で未実施／不合格を抽出 → I列の手順を実行 → M列に証跡 → F・N・O列を更新。自動同期前にはバックアップを作成。</x:v>
      </x:c>
      <x:c r="B4" s="1"/>
      <x:c r="C4" s="1"/>
      <x:c r="D4" s="1"/>
      <x:c r="E4" s="1"/>
      <x:c r="F4" s="1"/>
      <x:c r="G4" s="1"/>
      <x:c r="H4" s="1"/>
      <x:c r="I4" s="1"/>
      <x:c r="J4" s="1"/>
      <x:c r="K4" s="1"/>
      <x:c r="L4" s="1"/>
      <x:c r="M4" s="1"/>
      <x:c r="N4" s="1"/>
      <x:c r="O4" s="1"/>
    </x:row>
    <x:row r="5">
      <x:c r="A5" s="1"/>
      <x:c r="B5" s="1"/>
      <x:c r="C5" s="1"/>
      <x:c r="D5" s="1"/>
      <x:c r="E5" s="1"/>
      <x:c r="F5" s="1"/>
      <x:c r="G5" s="1"/>
      <x:c r="H5" s="1"/>
      <x:c r="I5" s="1"/>
      <x:c r="J5" s="1"/>
      <x:c r="K5" s="1"/>
      <x:c r="L5" s="1"/>
      <x:c r="M5" s="1"/>
      <x:c r="N5" s="1"/>
      <x:c r="O5" s="1"/>
    </x:row>
    <x:row r="6" ht="34" customHeight="1">
      <x:c r="A6" s="3" t="str">
        <x:v>ID</x:v>
      </x:c>
      <x:c r="B6" s="3" t="str">
        <x:v>領域</x:v>
      </x:c>
      <x:c r="C6" s="3" t="str">
        <x:v>ユーザーストーリー</x:v>
      </x:c>
      <x:c r="D6" s="3" t="str">
        <x:v>期待する挙動・合格条件</x:v>
      </x:c>
      <x:c r="E6" s="3" t="str">
        <x:v>実装状態</x:v>
      </x:c>
      <x:c r="F6" s="3" t="str">
        <x:v>検証状態</x:v>
      </x:c>
      <x:c r="G6" s="3" t="str">
        <x:v>検証方式</x:v>
      </x:c>
      <x:c r="H6" s="3" t="str">
        <x:v>前提</x:v>
      </x:c>
      <x:c r="I6" s="3" t="str">
        <x:v>操作・テスト手順</x:v>
      </x:c>
      <x:c r="J6" s="3" t="str">
        <x:v>要件</x:v>
      </x:c>
      <x:c r="K6" s="3" t="str">
        <x:v>実装根拠</x:v>
      </x:c>
      <x:c r="L6" s="3" t="str">
        <x:v>自動テスト候補</x:v>
      </x:c>
      <x:c r="M6" s="3" t="str">
        <x:v>今回の証跡</x:v>
      </x:c>
      <x:c r="N6" s="3" t="str">
        <x:v>残作業・注意</x:v>
      </x:c>
      <x:c r="O6" s="3" t="str">
        <x:v>確認日時</x:v>
      </x:c>
    </x:row>
    <x:row r="7" ht="100" customHeight="1">
      <x:c r="A7" s="1" t="str">
        <x:v>OPS-01</x:v>
      </x:c>
      <x:c r="B7" s="1" t="str">
        <x:v>起動</x:v>
      </x:c>
      <x:c r="C7" s="1" t="str">
        <x:v>先生として、ダブルクリックで授業を準備したい</x:v>
      </x:c>
      <x:c r="D7" s="1" t="str">
        <x:v>未セットアップなら依存・モデル・証明書を準備し、成功後だけ完了マーカーを作る</x:v>
      </x:c>
      <x:c r="E7" s="1" t="str">
        <x:v>実装あり</x:v>
      </x:c>
      <x:c r="F7" s="1" t="str">
        <x:v>部分確認</x:v>
      </x:c>
      <x:c r="G7" s="1" t="str">
        <x:v>実機</x:v>
      </x:c>
      <x:c r="H7" s="1" t="str">
        <x:v>Python 3.12以上の新規Windows環境</x:v>
      </x:c>
      <x:c r="I7" s="1" t="str">
        <x:v>start.batを起動し初回セットアップから先生画面まで確認</x:v>
      </x:c>
      <x:c r="J7" s="1" t="str">
        <x:v>N-09</x:v>
      </x:c>
      <x:c r="K7" s="1" t="str">
        <x:v>start.bat;scripts/run.ps1;setup.ps1</x:v>
      </x:c>
      <x:c r="L7" s="1" t="str">
        <x:v>qa_checks/test_windows_launcher_contracts.py::test_start_bat_shim_reaches_the_same_prepared_launcher;qa_checks/test_windows_launcher_contracts.py::test_setup_marker_follows_every_required_native_step</x:v>
      </x:c>
      <x:c r="M7" s="1" t="str">
        <x:v>pytest: pass=2, fail=0, error=0, skip=0. docs/qa/runs/20260908-112049/story-evidence.json #OPS-01</x:v>
      </x:c>
      <x:c r="N7" s="1" t="str">
        <x:v>隔離スタブで起動入口と完了マーカー順序を確認。クリーンWindowsでの初回実行は残る</x:v>
      </x:c>
      <x:c r="O7" s="1" t="str">
        <x:v>2026-09-08T11:23:44.768830+09:00</x:v>
      </x:c>
    </x:row>
    <x:row r="8" ht="100" customHeight="1">
      <x:c r="A8" s="4" t="str">
        <x:v>OPS-02</x:v>
      </x:c>
      <x:c r="B8" s="4" t="str">
        <x:v>起動</x:v>
      </x:c>
      <x:c r="C8" s="4" t="str">
        <x:v>先生として、中断した初回準備をやり直したい</x:v>
      </x:c>
      <x:c r="D8" s="4" t="str">
        <x:v>途中失敗では完了扱いにせず、次回起動で準備を再実行できる</x:v>
      </x:c>
      <x:c r="E8" s="4" t="str">
        <x:v>実装あり</x:v>
      </x:c>
      <x:c r="F8" s="4" t="str">
        <x:v>部分確認</x:v>
      </x:c>
      <x:c r="G8" s="4" t="str">
        <x:v>実機</x:v>
      </x:c>
      <x:c r="H8" s="4" t="str">
        <x:v>セットアップ未完了</x:v>
      </x:c>
      <x:c r="I8" s="4" t="str">
        <x:v>モデル取得中断を模擬し再びstart.batを実行</x:v>
      </x:c>
      <x:c r="J8" s="4" t="str">
        <x:v>N-09;E-13</x:v>
      </x:c>
      <x:c r="K8" s="4" t="str">
        <x:v>scripts/run.ps1;setup.ps1;scripts/download_models.py</x:v>
      </x:c>
      <x:c r="L8" s="4" t="str">
        <x:v>qa_checks/test_windows_launcher_contracts.py::test_interrupted_setup_is_not_complete_and_next_launch_retries</x:v>
      </x:c>
      <x:c r="M8" s="4" t="str">
        <x:v>pytest: pass=1, fail=0, error=0, skip=0. docs/qa/runs/20260908-112049/story-evidence.json #OPS-02</x:v>
      </x:c>
      <x:c r="N8" s="4" t="str">
        <x:v>隔離スタブで起動再試行を確認し、実download_one/mainでは完了済みpayload保持・同一格納先での中断再試行を確認。数GB実取得とPowerShell連鎖は隔離Windowsで確認</x:v>
      </x:c>
      <x:c r="O8" s="4" t="str">
        <x:v>2026-09-08T11:23:44.768830+09:00</x:v>
      </x:c>
    </x:row>
    <x:row r="9" ht="131" customHeight="1">
      <x:c r="A9" s="1" t="str">
        <x:v>OPS-03</x:v>
      </x:c>
      <x:c r="B9" s="1" t="str">
        <x:v>起動</x:v>
      </x:c>
      <x:c r="C9" s="1" t="str">
        <x:v>先生として、準備済みならネットなしで開始したい</x:v>
      </x:c>
      <x:c r="D9" s="1" t="str">
        <x:v>モデルを毎回取得せず、準備完了後に先生ページが開く</x:v>
      </x:c>
      <x:c r="E9" s="1" t="str">
        <x:v>実装あり</x:v>
      </x:c>
      <x:c r="F9" s="1" t="str">
        <x:v>不合格</x:v>
      </x:c>
      <x:c r="G9" s="1" t="str">
        <x:v>実機</x:v>
      </x:c>
      <x:c r="H9" s="1" t="str">
        <x:v>セットアップ完了</x:v>
      </x:c>
      <x:c r="I9" s="1" t="str">
        <x:v>オフラインでstart.batを起動する</x:v>
      </x:c>
      <x:c r="J9" s="1" t="str">
        <x:v>N-03;N-09</x:v>
      </x:c>
      <x:c r="K9" s="1" t="str">
        <x:v>scripts/run.ps1;server/main.py</x:v>
      </x:c>
      <x:c r="L9" s="1" t="str">
        <x:v>qa_checks/test_windows_launcher_contracts.py::test_prepared_launcher_skips_setup_and_starts_browser_entrypoint;qa_checks/test_remaining_ops_contracts.py::test_ops03_teacher_page_never_opens_before_pipeline_is_ready;qa_checks/test_remaining_ops_contracts.py::test_ops03_teacher_page_opens_once_when_pipeline_becomes_ready;tests/invariants/test_offline_invariants.py</x:v>
      </x:c>
      <x:c r="M9" s="1" t="str">
        <x:v>pytest: pass=8, fail=1, error=0, skip=0. docs/qa/runs/20260908-112049/story-evidence.json #OPS-03</x:v>
      </x:c>
      <x:c r="N9" s="1" t="str">
        <x:v>ready未成立でも60秒後に先生ページを開く反例あり。実オフラインWindows確認も残る</x:v>
      </x:c>
      <x:c r="O9" s="1" t="str">
        <x:v>2026-09-08T11:23:44.768830+09:00</x:v>
      </x:c>
    </x:row>
    <x:row r="10" ht="100" customHeight="1">
      <x:c r="A10" s="4" t="str">
        <x:v>OPS-04</x:v>
      </x:c>
      <x:c r="B10" s="4" t="str">
        <x:v>起動</x:v>
      </x:c>
      <x:c r="C10" s="4" t="str">
        <x:v>運用者として、モデル準備中と起動完了を区別したい</x:v>
      </x:c>
      <x:c r="D10" s="4" t="str">
        <x:v>ロード中はhealthz=200・ready=503、完了後ready=200</x:v>
      </x:c>
      <x:c r="E10" s="4" t="str">
        <x:v>実装あり</x:v>
      </x:c>
      <x:c r="F10" s="4" t="str">
        <x:v>部分確認</x:v>
      </x:c>
      <x:c r="G10" s="4" t="str">
        <x:v>自動</x:v>
      </x:c>
      <x:c r="H10" s="4" t="str">
        <x:v>ロード待ちを制御できるモデル</x:v>
      </x:c>
      <x:c r="I10" s="4" t="str">
        <x:v>ロード前後で両HTTP APIを呼ぶ</x:v>
      </x:c>
      <x:c r="J10" s="4" t="str">
        <x:v>E-13</x:v>
      </x:c>
      <x:c r="K10" s="4" t="str">
        <x:v>server/main.py;server/pipeline.py</x:v>
      </x:c>
      <x:c r="L10" s="4" t="str">
        <x:v>tests/integration/test_ops.py::TestHealthzReadiness</x:v>
      </x:c>
      <x:c r="M10" s="4" t="str">
        <x:v>pytest: pass=2, fail=0, error=0, skip=0. docs/qa/runs/20260908-112049/story-evidence.json #OPS-04</x:v>
      </x:c>
      <x:c r="N10" s="4" t="str">
        <x:v>
テスト証拠を現行sourceで再監査できないため部分確認。</x:v>
      </x:c>
      <x:c r="O10" s="4" t="str">
        <x:v>2026-09-08T11:23:44.768830+09:00</x:v>
      </x:c>
    </x:row>
    <x:row r="11" ht="114" customHeight="1">
      <x:c r="A11" s="1" t="str">
        <x:v>OPS-05</x:v>
      </x:c>
      <x:c r="B11" s="1" t="str">
        <x:v>起動</x:v>
      </x:c>
      <x:c r="C11" s="1" t="str">
        <x:v>運用者として、不足モデルの直し方を知りたい</x:v>
      </x:c>
      <x:c r="D11" s="1" t="str">
        <x:v>欠損・小さすぎるモデルを拒否し取得手順を知らせる。クラウドやfakeへ自動退避しない</x:v>
      </x:c>
      <x:c r="E11" s="1" t="str">
        <x:v>実装あり</x:v>
      </x:c>
      <x:c r="F11" s="1" t="str">
        <x:v>部分確認</x:v>
      </x:c>
      <x:c r="G11" s="1" t="str">
        <x:v>自動</x:v>
      </x:c>
      <x:c r="H11" s="1" t="str">
        <x:v>隔離した欠損モデル設定</x:v>
      </x:c>
      <x:c r="I11" s="1" t="str">
        <x:v>ASR/MTファクトリを欠損・不完全パスで呼ぶ</x:v>
      </x:c>
      <x:c r="J11" s="1" t="str">
        <x:v>E-13;N-03</x:v>
      </x:c>
      <x:c r="K11" s="1" t="str">
        <x:v>server/model_files.py;server/main.py</x:v>
      </x:c>
      <x:c r="L11" s="1" t="str">
        <x:v>tests/invariants/test_failure_modes.py::TestFailClosedOnMissingModels;qa_checks/test_ops05_join05_contracts.py::test_model_file_guard_rejects_missing_or_undersized_artifacts;qa_checks/test_ops05_join05_contracts.py::test_asr_factory_enforces_model_file_guard;qa_checks/test_ops05_join05_contracts.py::test_mt_factory_enforces_model_file_guard</x:v>
      </x:c>
      <x:c r="M11" s="1" t="str">
        <x:v>pytest: pass=16, fail=0, error=0, skip=0. docs/qa/runs/20260908-112049/story-evidence.json #OPS-05</x:v>
      </x:c>
      <x:c r="N11" s="1" t="str">
        <x:v>ASR・NLLB・tokenizer・Hy-MT2の欠損/閾値直下、取得手順、全factoryのfail-closedを確認
テスト証拠を現行sourceで再監査できないため部分確認。</x:v>
      </x:c>
      <x:c r="O11" s="1" t="str">
        <x:v>2026-09-08T11:23:44.768830+09:00</x:v>
      </x:c>
    </x:row>
    <x:row r="12" ht="100" customHeight="1">
      <x:c r="A12" s="4" t="str">
        <x:v>OPS-06</x:v>
      </x:c>
      <x:c r="B12" s="4" t="str">
        <x:v>設定</x:v>
      </x:c>
      <x:c r="C12" s="4" t="str">
        <x:v>運用者として、翻訳・認識エンジンを設定で選びたい</x:v>
      </x:c>
      <x:c r="D12" s="4" t="str">
        <x:v>sherpa/faster-whisperとhy-mt2/nllbを設定で切替できる。現行出荷設定はsherpa+hy-mt2</x:v>
      </x:c>
      <x:c r="E12" s="4" t="str">
        <x:v>実装あり</x:v>
      </x:c>
      <x:c r="F12" s="4" t="str">
        <x:v>部分確認</x:v>
      </x:c>
      <x:c r="G12" s="4" t="str">
        <x:v>実モデル</x:v>
      </x:c>
      <x:c r="H12" s="4" t="str">
        <x:v>各ローカルモデルを取得済み</x:v>
      </x:c>
      <x:c r="I12" s="4" t="str">
        <x:v>設定コピーで4組合せを起動し日本語音声から英中字幕まで確認</x:v>
      </x:c>
      <x:c r="J12" s="4" t="str">
        <x:v>F-12</x:v>
      </x:c>
      <x:c r="K12" s="4" t="str">
        <x:v>config.yaml;server/main.py;server/asr;server/mt</x:v>
      </x:c>
      <x:c r="L12" s="4" t="str">
        <x:v>qa_checks/test_ops06_real_engine_matrix.py::test_ops06_all_real_engine_combinations_deliver_en_and_zh</x:v>
      </x:c>
      <x:c r="M12" s="4" t="str">
        <x:v>pytest: pass=1, fail=0, error=0, skip=0. docs/qa/runs/20260908-112049/story-evidence.json #OPS-06</x:v>
      </x:c>
      <x:c r="N12" s="4" t="str">
        <x:v>4実モデル直積を設定・factory・WebSocket授業・英中字幕まで通し、fake退避なしと外部通信0を確認
テスト証拠を現行sourceで再監査できないため部分確認。</x:v>
      </x:c>
      <x:c r="O12" s="4" t="str">
        <x:v>2026-09-08T11:23:44.768830+09:00</x:v>
      </x:c>
    </x:row>
    <x:row r="13" ht="100" customHeight="1">
      <x:c r="A13" s="1" t="str">
        <x:v>OPS-07</x:v>
      </x:c>
      <x:c r="B13" s="1" t="str">
        <x:v>設定</x:v>
      </x:c>
      <x:c r="C13" s="1" t="str">
        <x:v>運用者として、対応言語設定の誤りを起動時に知りたい</x:v>
      </x:c>
      <x:c r="D13" s="1" t="str">
        <x:v>空・重複言語や実エンジン非対応言語を拒否し、公開APIには設定した言語を出す</x:v>
      </x:c>
      <x:c r="E13" s="1" t="str">
        <x:v>実装あり</x:v>
      </x:c>
      <x:c r="F13" s="1" t="str">
        <x:v>部分確認</x:v>
      </x:c>
      <x:c r="G13" s="1" t="str">
        <x:v>自動</x:v>
      </x:c>
      <x:c r="H13" s="1" t="str">
        <x:v>設定コピー</x:v>
      </x:c>
      <x:c r="I13" s="1" t="str">
        <x:v>空・重複・未対応言語を設定し検証する</x:v>
      </x:c>
      <x:c r="J13" s="1" t="str">
        <x:v>F-12;E-14</x:v>
      </x:c>
      <x:c r="K13" s="1" t="str">
        <x:v>server/config.py;server/main.py</x:v>
      </x:c>
      <x:c r="L13" s="1" t="str">
        <x:v>tests/unit/test_mt_engines.py;tests/integration/test_ws_boundary.py::TestHttpEndpoints::test_api_config_exposes_languages;qa_checks/test_story_edges.py::test_ops07_invalid_language_configuration</x:v>
      </x:c>
      <x:c r="M13" s="1" t="str">
        <x:v>pytest: pass=11, fail=0, error=0, skip=0. docs/qa/runs/20260908-112049/story-evidence.json #OPS-07</x:v>
      </x:c>
      <x:c r="N13" s="1" t="str">
        <x:v>
テスト証拠を現行sourceで再監査できないため部分確認。</x:v>
      </x:c>
      <x:c r="O13" s="1" t="str">
        <x:v>2026-09-08T11:23:44.768830+09:00</x:v>
      </x:c>
    </x:row>
    <x:row r="14" ht="100" customHeight="1">
      <x:c r="A14" s="4" t="str">
        <x:v>OPS-08</x:v>
      </x:c>
      <x:c r="B14" s="4" t="str">
        <x:v>ネットワーク</x:v>
      </x:c>
      <x:c r="C14" s="4" t="str">
        <x:v>先生として、別端末からマイク配信したい</x:v>
      </x:c>
      <x:c r="D14" s="4" t="str">
        <x:v>証明書ありならHTTPとHTTPSを同時提供し、HTTPS先生画面で収音できる</x:v>
      </x:c>
      <x:c r="E14" s="4" t="str">
        <x:v>実装あり</x:v>
      </x:c>
      <x:c r="F14" s="4" t="str">
        <x:v>不合格</x:v>
      </x:c>
      <x:c r="G14" s="4" t="str">
        <x:v>実機</x:v>
      </x:c>
      <x:c r="H14" s="4" t="str">
        <x:v>LAN内の別端末・証明書</x:v>
      </x:c>
      <x:c r="I14" s="4" t="str">
        <x:v>別端末HTTPSで許可後配信、生徒はHTTPで閲覧</x:v>
      </x:c>
      <x:c r="J14" s="4" t="str">
        <x:v>F-01;N-06</x:v>
      </x:c>
      <x:c r="K14" s="4" t="str">
        <x:v>server/config.py;server/main.py;scripts/make_cert.py;web/teacher.js</x:v>
      </x:c>
      <x:c r="L14" s="4" t="str">
        <x:v>tests/integration/test_ops.py::TestTeacherInfoAccess;qa_checks/test_ops_network_contracts.py::test_tls_ready_serves_http_and_https_and_opens_secure_teacher_page;qa_checks/test_ops_network_contracts.py::test_ops08_does_not_advertise_https_lan_url_when_certificate_san_is_stale</x:v>
      </x:c>
      <x:c r="M14" s="4" t="str">
        <x:v>pytest: pass=3, fail=1, error=0, skip=0. docs/qa/runs/20260908-112049/story-evidence.json #OPS-08</x:v>
      </x:c>
      <x:c r="N14" s="4" t="str">
        <x:v>旧IPの証明書SANにない現LAN IPを別端末可HTTPSとして案内する反例あり。別LAN端末の証明書許可・secure context・実マイクも残る</x:v>
      </x:c>
      <x:c r="O14" s="4" t="str">
        <x:v>2026-09-08T11:23:44.768830+09:00</x:v>
      </x:c>
    </x:row>
    <x:row r="15" ht="114" customHeight="1">
      <x:c r="A15" s="1" t="str">
        <x:v>OPS-09</x:v>
      </x:c>
      <x:c r="B15" s="1" t="str">
        <x:v>ネットワーク</x:v>
      </x:c>
      <x:c r="C15" s="1" t="str">
        <x:v>先生として、証明書がなくてもこのPCで配信したい</x:v>
      </x:c>
      <x:c r="D15" s="1" t="str">
        <x:v>証明書なしならlocalhost HTTPの先生URLを案内しマイクが使える</x:v>
      </x:c>
      <x:c r="E15" s="1" t="str">
        <x:v>実装あり</x:v>
      </x:c>
      <x:c r="F15" s="1" t="str">
        <x:v>部分確認</x:v>
      </x:c>
      <x:c r="G15" s="1" t="str">
        <x:v>ブラウザ</x:v>
      </x:c>
      <x:c r="H15" s="1" t="str">
        <x:v>証明書なしの設定コピー</x:v>
      </x:c>
      <x:c r="I15" s="1" t="str">
        <x:v>localhostで先生画面を開き配信する</x:v>
      </x:c>
      <x:c r="J15" s="1" t="str">
        <x:v>F-01;R-03</x:v>
      </x:c>
      <x:c r="K15" s="1" t="str">
        <x:v>server/main.py;README.md</x:v>
      </x:c>
      <x:c r="L15" s="1" t="str">
        <x:v>tests/integration/test_ops_certificates.py::test_startup_without_certificate_prints_local_http_teacher_url;tests/integration/test_ops_certificates.py::test_serve_without_certificate_is_http_only_and_opens_local_teacher_url</x:v>
      </x:c>
      <x:c r="M15" s="1" t="str">
        <x:v>docs/qa/runs/20260908-062516-native-browser/browser.json #OPS-09; native_http_audio_worklet=pass
pytest: pass=2, fail=0, error=0, skip=0. docs/qa/runs/20260908-112049/story-evidence.json #OPS-09
docs/qa/runs/20260908-112624-native-browser/browser.json #OPS-09; native_http_audio_worklet=pass</x:v>
      </x:c>
      <x:c r="N15" s="1" t="str">
        <x:v>一時的な空の証明書ディレクトリで起動経路を検証し、ループバックHTTPの実Edge音声経路と合成判定。物理マイクは実機確認を残す
テスト証拠を現行sourceで再監査できないため部分確認。</x:v>
      </x:c>
      <x:c r="O15" s="1" t="str">
        <x:v>2026-09-08T11:28:16.537329+09:00</x:v>
      </x:c>
    </x:row>
    <x:row r="16" ht="114" customHeight="1">
      <x:c r="A16" s="4" t="str">
        <x:v>OPS-10</x:v>
      </x:c>
      <x:c r="B16" s="4" t="str">
        <x:v>ネットワーク</x:v>
      </x:c>
      <x:c r="C16" s="4" t="str">
        <x:v>先生として、正しい参加先を毎授業案内したい</x:v>
      </x:c>
      <x:c r="D16" s="4" t="str">
        <x:v>現在のLAN IP・設定HTTPポート・4桁コードを使ったURLと同じ内容のQRが出る</x:v>
      </x:c>
      <x:c r="E16" s="4" t="str">
        <x:v>実装あり</x:v>
      </x:c>
      <x:c r="F16" s="4" t="str">
        <x:v>部分確認</x:v>
      </x:c>
      <x:c r="G16" s="4" t="str">
        <x:v>ブラウザ</x:v>
      </x:c>
      <x:c r="H16" s="4" t="str">
        <x:v>LAN接続済み</x:v>
      </x:c>
      <x:c r="I16" s="4" t="str">
        <x:v>teacher-infoと画面URLとQR復号値を比較</x:v>
      </x:c>
      <x:c r="J16" s="4" t="str">
        <x:v>F-08;E-10</x:v>
      </x:c>
      <x:c r="K16" s="4" t="str">
        <x:v>server/main.py;web/teacher.js;web/vendor/qrcode.min.js</x:v>
      </x:c>
      <x:c r="L16" s="4" t="str">
        <x:v>tests/unit/test_lan_ip.py;tests/integration/test_ws_boundary.py::TestHttpEndpoints::test_teacher_info_returns_join_code;qa_checks/test_ops_network_contracts.py::test_teacher_info_recomputes_join_url_from_current_ip_port_and_code</x:v>
      </x:c>
      <x:c r="M16" s="4" t="str">
        <x:v>pytest: pass=18, fail=0, error=0, skip=0. docs/qa/runs/20260908-112049/story-evidence.json #OPS-10
docs/qa/runs/20260908-112500-browser/browser.json #OPS-10; teacher_url_and_qr_pixels_match=pass
docs/qa/runs/20260908-112624-native-browser/browser.json #OPS-10; native_lan_teacher_url_qr_and_caption=pass</x:v>
      </x:c>
      <x:c r="N16" s="4" t="str">
        <x:v>現PCの非loopback NIC 192.168.1.6で、0.0.0.0動的待受→実HTTP/WS→実Edge参加→字幕seq=1を確認。teacher-info・画面URL・QR復号値も一致。自己NIC内の検証であり、実DHCP変更・別端末到達・スマホカメラ読取は未検証</x:v>
      </x:c>
      <x:c r="O16" s="4" t="str">
        <x:v>2026-09-08T11:28:16.537329+09:00</x:v>
      </x:c>
    </x:row>
    <x:row r="17" ht="100" customHeight="1">
      <x:c r="A17" s="1" t="str">
        <x:v>OPS-11</x:v>
      </x:c>
      <x:c r="B17" s="1" t="str">
        <x:v>ネットワーク</x:v>
      </x:c>
      <x:c r="C17" s="1" t="str">
        <x:v>運用者として、期限切れ証明書に対処したい</x:v>
      </x:c>
      <x:c r="D17" s="1" t="str">
        <x:v>SAN付き証明書を生成し、残存30日未満は起動時に警告と再生成手順が出る</x:v>
      </x:c>
      <x:c r="E17" s="1" t="str">
        <x:v>実装あり</x:v>
      </x:c>
      <x:c r="F17" s="1" t="str">
        <x:v>部分確認</x:v>
      </x:c>
      <x:c r="G17" s="1" t="str">
        <x:v>自動</x:v>
      </x:c>
      <x:c r="H17" s="1" t="str">
        <x:v>隔離した証明書出力先</x:v>
      </x:c>
      <x:c r="I17" s="1" t="str">
        <x:v>証明書生成・有効/期限切れ/破損の残日数と起動出力を確認</x:v>
      </x:c>
      <x:c r="J17" s="1" t="str">
        <x:v>E-15</x:v>
      </x:c>
      <x:c r="K17" s="1" t="str">
        <x:v>scripts/make_cert.py;server/main.py</x:v>
      </x:c>
      <x:c r="L17" s="1" t="str">
        <x:v>tests/integration/test_ops.py::TestCertExpiry;tests/integration/test_ops_certificates.py</x:v>
      </x:c>
      <x:c r="M17" s="1" t="str">
        <x:v>pytest: pass=10, fail=0, error=0, skip=0. docs/qa/runs/20260908-112049/story-evidence.json #OPS-11</x:v>
      </x:c>
      <x:c r="N17" s="1" t="str">
        <x:v>隔離先へのSAN付き生成、29日/期限切れ警告、再生成手順、30日境界、破損時の誤警告なしを起動経路で確認
テスト証拠を現行sourceで再監査できないため部分確認。</x:v>
      </x:c>
      <x:c r="O17" s="1" t="str">
        <x:v>2026-09-08T11:23:44.768830+09:00</x:v>
      </x:c>
    </x:row>
    <x:row r="18" ht="100" customHeight="1">
      <x:c r="A18" s="4" t="str">
        <x:v>OPS-12</x:v>
      </x:c>
      <x:c r="B18" s="4" t="str">
        <x:v>ネットワーク</x:v>
      </x:c>
      <x:c r="C18" s="4" t="str">
        <x:v>先生として、学校Wi-Fiで生徒全員につなげたい</x:v>
      </x:c>
      <x:c r="D18" s="4" t="str">
        <x:v>実端末が同一LANで接続でき、QRから90秒以内に全員参加する</x:v>
      </x:c>
      <x:c r="E18" s="4" t="str">
        <x:v>実装あり</x:v>
      </x:c>
      <x:c r="F18" s="4" t="str">
        <x:v>部分確認</x:v>
      </x:c>
      <x:c r="G18" s="4" t="str">
        <x:v>実機</x:v>
      </x:c>
      <x:c r="H18" s="4" t="str">
        <x:v>学校LAN・先生1名・生徒10名</x:v>
      </x:c>
      <x:c r="I18" s="4" t="str">
        <x:v>投影QRで参加時間・疎通を測定</x:v>
      </x:c>
      <x:c r="J18" s="4" t="str">
        <x:v>N-02;N-06;plan §9</x:v>
      </x:c>
      <x:c r="K18" s="4" t="str">
        <x:v>README.md;docs/field-verification-checklist.md</x:v>
      </x:c>
      <x:c r="L18" s="4" t="str">
        <x:v/>
      </x:c>
      <x:c r="M18" s="4" t="str">
        <x:v>docs/qa/runs/20260907-212418-ops12-loopback/evidence.json #OPS-12; Edge 10独立contextが参加URLから3.580秒でjoinし、実loopback HTTP/WSで全員に字幕DOM到達。学校LAN・投影QR・物理端末・人間操作は未検証。</x:v>
      </x:c>
      <x:c r="N18" s="4" t="str">
        <x:v>実Edge 10 contextの参加・字幕到達を部分確認。学校LAN・物理端末10台・投影QRの光学読取・人間の一斉参加90秒計時は残る</x:v>
      </x:c>
      <x:c r="O18" s="4" t="str">
        <x:v>2026-09-07T21:26:00.091459+09:00</x:v>
      </x:c>
    </x:row>
    <x:row r="19" ht="100" customHeight="1">
      <x:c r="A19" s="1" t="str">
        <x:v>OPS-13</x:v>
      </x:c>
      <x:c r="B19" s="1" t="str">
        <x:v>ネットワーク</x:v>
      </x:c>
      <x:c r="C19" s="1" t="str">
        <x:v>先生として、AP分離時にも授業を開きたい</x:v>
      </x:c>
      <x:c r="D19" s="1" t="str">
        <x:v>モバイルホットスポットへ切替後、新IPのQRで参加できる</x:v>
      </x:c>
      <x:c r="E19" s="1" t="str">
        <x:v>実装あり</x:v>
      </x:c>
      <x:c r="F19" s="1" t="str">
        <x:v>不合格</x:v>
      </x:c>
      <x:c r="G19" s="1" t="str">
        <x:v>実機</x:v>
      </x:c>
      <x:c r="H19" s="1" t="str">
        <x:v>Windowsホットスポット・生徒端末</x:v>
      </x:c>
      <x:c r="I19" s="1" t="str">
        <x:v>ネットワーク切替→サーバー再起動→端末参加</x:v>
      </x:c>
      <x:c r="J19" s="1" t="str">
        <x:v>R-02</x:v>
      </x:c>
      <x:c r="K19" s="1" t="str">
        <x:v>README.md;server/main.py</x:v>
      </x:c>
      <x:c r="L19" s="1" t="str">
        <x:v>qa_checks/test_remaining_ops_contracts.py::test_ops13_restart_after_hotspot_switch_publishes_new_hotspot_ip</x:v>
      </x:c>
      <x:c r="M19" s="1" t="str">
        <x:v>pytest: pass=0, fail=1, error=0, skip=0. docs/qa/runs/20260908-112049/story-evidence.json #OPS-13</x:v>
      </x:c>
      <x:c r="N19" s="1" t="str">
        <x:v>旧Wi-Fi IPと典型的hotspot IP 192.168.137.1が併存すると旧IPを選ぶ反例あり。実端末確認も残る</x:v>
      </x:c>
      <x:c r="O19" s="1" t="str">
        <x:v>2026-09-08T11:23:44.768830+09:00</x:v>
      </x:c>
    </x:row>
    <x:row r="20" ht="114" customHeight="1">
      <x:c r="A20" s="4" t="str">
        <x:v>OPS-14</x:v>
      </x:c>
      <x:c r="B20" s="4" t="str">
        <x:v>運用</x:v>
      </x:c>
      <x:c r="C20" s="4" t="str">
        <x:v>先生として、授業中にPCが眠らないようにしたい</x:v>
      </x:c>
      <x:c r="D20" s="4" t="str">
        <x:v>管理者セットアップで受信ポート許可とAC時スリープ/休止無効化。非管理者は手動対応を案内</x:v>
      </x:c>
      <x:c r="E20" s="4" t="str">
        <x:v>実装あり</x:v>
      </x:c>
      <x:c r="F20" s="4" t="str">
        <x:v>不合格</x:v>
      </x:c>
      <x:c r="G20" s="4" t="str">
        <x:v>実機</x:v>
      </x:c>
      <x:c r="H20" s="4" t="str">
        <x:v>隔離Windows環境</x:v>
      </x:c>
      <x:c r="I20" s="4" t="str">
        <x:v>管理者/非管理者のセットアップとAC時の継続動作を確認</x:v>
      </x:c>
      <x:c r="J20" s="4" t="str">
        <x:v>E-11;N-09</x:v>
      </x:c>
      <x:c r="K20" s="4" t="str">
        <x:v>setup.ps1;README.md</x:v>
      </x:c>
      <x:c r="L20" s="4" t="str">
        <x:v>qa_checks/test_remaining_ops_contracts.py::test_ops14_powercfg_failures_prevent_setup_completion_marker;qa_checks/test_remaining_ops_contracts.py::test_ops14_existing_firewall_rule_is_revalidated_before_accepting_it;qa_checks/test_remaining_ops_contracts.py::test_ops14_non_admin_docs_include_concrete_firewall_and_power_steps</x:v>
      </x:c>
      <x:c r="M20" s="4" t="str">
        <x:v>pytest: pass=0, fail=3, error=0, skip=0. docs/qa/runs/20260908-112049/story-evidence.json #OPS-14</x:v>
      </x:c>
      <x:c r="N20" s="4" t="str">
        <x:v>powercfg失敗見逃し・同名FW規則の内容未検証・非管理者向け具体手順欠落の反例あり。OS実設定は隔離環境での確認が残る。</x:v>
      </x:c>
      <x:c r="O20" s="4" t="str">
        <x:v>2026-09-08T11:23:44.768830+09:00</x:v>
      </x:c>
    </x:row>
    <x:row r="21" ht="100" customHeight="1">
      <x:c r="A21" s="1" t="str">
        <x:v>JOIN-01</x:v>
      </x:c>
      <x:c r="B21" s="1" t="str">
        <x:v>参加</x:v>
      </x:c>
      <x:c r="C21" s="1" t="str">
        <x:v>生徒として、コードと言語で授業に入りたい</x:v>
      </x:c>
      <x:c r="D21" s="1" t="str">
        <x:v>4桁コードと言語の入力後だけ参加操作でき、成功時字幕画面に移る</x:v>
      </x:c>
      <x:c r="E21" s="1" t="str">
        <x:v>実装あり</x:v>
      </x:c>
      <x:c r="F21" s="1" t="str">
        <x:v>不合格</x:v>
      </x:c>
      <x:c r="G21" s="1" t="str">
        <x:v>ブラウザ</x:v>
      </x:c>
      <x:c r="H21" s="1" t="str">
        <x:v>先生ルーム起動</x:v>
      </x:c>
      <x:c r="I21" s="1" t="str">
        <x:v>コード手入力・English/中文選択・参加</x:v>
      </x:c>
      <x:c r="J21" s="1" t="str">
        <x:v>F-04</x:v>
      </x:c>
      <x:c r="K21" s="1" t="str">
        <x:v>web/index.html;web/student.js;server/main.py;web/student.css</x:v>
      </x:c>
      <x:c r="L21" s="1" t="str">
        <x:v>tests/integration/test_ws_boundary.py::TestJoin::test_student_join_ok</x:v>
      </x:c>
      <x:c r="M21" s="1" t="str">
        <x:v>pytest: pass=1, fail=0, error=0, skip=0. docs/qa/runs/20260908-112049/story-evidence.json #JOIN-01
docs/qa/runs/20260908-112500-browser/browser.json #JOIN-01; join_hides_entry_screen=fail</x:v>
      </x:c>
      <x:c r="N21" s="1" t="str">
        <x:v>再現: hidden属性がCSS display:flexに負け、参加後もフォームが残る。docs/qa/findings.md参照。 修正は未実施。</x:v>
      </x:c>
      <x:c r="O21" s="1" t="str">
        <x:v>2026-09-08T11:25:35.655682+09:00</x:v>
      </x:c>
    </x:row>
    <x:row r="22" ht="100" customHeight="1">
      <x:c r="A22" s="4" t="str">
        <x:v>JOIN-02</x:v>
      </x:c>
      <x:c r="B22" s="4" t="str">
        <x:v>参加</x:v>
      </x:c>
      <x:c r="C22" s="4" t="str">
        <x:v>生徒として、QRから手間なく入りたい</x:v>
      </x:c>
      <x:c r="D22" s="4" t="str">
        <x:v>URLのcodeが入力欄に入り、言語選択後に参加できる</x:v>
      </x:c>
      <x:c r="E22" s="4" t="str">
        <x:v>実装あり</x:v>
      </x:c>
      <x:c r="F22" s="4" t="str">
        <x:v>部分確認</x:v>
      </x:c>
      <x:c r="G22" s="4" t="str">
        <x:v>ブラウザ</x:v>
      </x:c>
      <x:c r="H22" s="4" t="str">
        <x:v>codeクエリ付きURL</x:v>
      </x:c>
      <x:c r="I22" s="4" t="str">
        <x:v>QR相当URLを開きコード自動入力と参加を確認</x:v>
      </x:c>
      <x:c r="J22" s="4" t="str">
        <x:v>F-04</x:v>
      </x:c>
      <x:c r="K22" s="4" t="str">
        <x:v>web/student.js:init</x:v>
      </x:c>
      <x:c r="L22" s="4" t="str">
        <x:v/>
      </x:c>
      <x:c r="M22" s="4" t="str">
        <x:v>docs/qa/runs/20260908-062424-browser/browser.json #JOIN-02; qr_query_prefills_code=pass
docs/qa/runs/20260908-112500-browser/browser.json #JOIN-02; qr_query_prefills_code=pass</x:v>
      </x:c>
      <x:c r="N22" s="4" t="str">
        <x:v>
テスト証拠を現行sourceで再監査できないため部分確認。</x:v>
      </x:c>
      <x:c r="O22" s="4" t="str">
        <x:v>2026-09-08T11:25:35.655682+09:00</x:v>
      </x:c>
    </x:row>
    <x:row r="23" ht="114" customHeight="1">
      <x:c r="A23" s="1" t="str">
        <x:v>JOIN-03</x:v>
      </x:c>
      <x:c r="B23" s="1" t="str">
        <x:v>参加</x:v>
      </x:c>
      <x:c r="C23" s="1" t="str">
        <x:v>生徒として、誤入力を直して参加したい</x:v>
      </x:c>
      <x:c r="D23" s="1" t="str">
        <x:v>誤コードは選択言語の理由を表示し、訂正すると参加できる</x:v>
      </x:c>
      <x:c r="E23" s="1" t="str">
        <x:v>実装あり</x:v>
      </x:c>
      <x:c r="F23" s="1" t="str">
        <x:v>部分確認</x:v>
      </x:c>
      <x:c r="G23" s="1" t="str">
        <x:v>ブラウザ</x:v>
      </x:c>
      <x:c r="H23" s="1" t="str">
        <x:v>参加前</x:v>
      </x:c>
      <x:c r="I23" s="1" t="str">
        <x:v>誤コード送信→正しいコードで再試行</x:v>
      </x:c>
      <x:c r="J23" s="1" t="str">
        <x:v>F-04;E-09</x:v>
      </x:c>
      <x:c r="K23" s="1" t="str">
        <x:v>web/student.js;web/i18n.js;server/main.py</x:v>
      </x:c>
      <x:c r="L23" s="1" t="str">
        <x:v>tests/integration/test_ws_boundary.py::TestJoin</x:v>
      </x:c>
      <x:c r="M23" s="1" t="str">
        <x:v>docs/qa/runs/20260908-062424-browser/browser.json #JOIN-03; wrong_code_then_retry=pass
pytest: pass=5, fail=0, error=0, skip=0. docs/qa/runs/20260908-112049/story-evidence.json #JOIN-03
docs/qa/runs/20260908-112500-browser/browser.json #JOIN-03; wrong_code_then_retry=pass</x:v>
      </x:c>
      <x:c r="N23" s="1" t="str">
        <x:v>拒否後の画面操作も確認
テスト証拠を現行sourceで再監査できないため部分確認。</x:v>
      </x:c>
      <x:c r="O23" s="1" t="str">
        <x:v>2026-09-08T11:25:35.655682+09:00</x:v>
      </x:c>
    </x:row>
    <x:row r="24" ht="100" customHeight="1">
      <x:c r="A24" s="4" t="str">
        <x:v>JOIN-04</x:v>
      </x:c>
      <x:c r="B24" s="4" t="str">
        <x:v>参加</x:v>
      </x:c>
      <x:c r="C24" s="4" t="str">
        <x:v>運用者として、コード総当たりを抑えたい</x:v>
      </x:c>
      <x:c r="D24" s="4" t="str">
        <x:v>同一IP5連続失敗で60秒拒否。成功で失敗回数をリセットし他IPへ波及しない</x:v>
      </x:c>
      <x:c r="E24" s="4" t="str">
        <x:v>実装あり</x:v>
      </x:c>
      <x:c r="F24" s="4" t="str">
        <x:v>部分確認</x:v>
      </x:c>
      <x:c r="G24" s="4" t="str">
        <x:v>自動</x:v>
      </x:c>
      <x:c r="H24" s="4" t="str">
        <x:v>時計を制御する試験</x:v>
      </x:c>
      <x:c r="I24" s="4" t="str">
        <x:v>5回失敗→正解でも拒否→60秒後参加。別IPも確認</x:v>
      </x:c>
      <x:c r="J24" s="4" t="str">
        <x:v>E-09</x:v>
      </x:c>
      <x:c r="K24" s="4" t="str">
        <x:v>server/rate_limit.py;server/main.py</x:v>
      </x:c>
      <x:c r="L24" s="4" t="str">
        <x:v>tests/unit/test_rate_limit.py;tests/integration/test_reconnection.py::TestJoinRateLimit</x:v>
      </x:c>
      <x:c r="M24" s="4" t="str">
        <x:v>pytest: pass=6, fail=0, error=0, skip=0. docs/qa/runs/20260908-112049/story-evidence.json #JOIN-04</x:v>
      </x:c>
      <x:c r="N24" s="4" t="str">
        <x:v>
テスト証拠を現行sourceで再監査できないため部分確認。</x:v>
      </x:c>
      <x:c r="O24" s="4" t="str">
        <x:v>2026-09-08T11:23:44.768830+09:00</x:v>
      </x:c>
    </x:row>
    <x:row r="25" ht="100" customHeight="1">
      <x:c r="A25" s="1" t="str">
        <x:v>JOIN-05</x:v>
      </x:c>
      <x:c r="B25" s="1" t="str">
        <x:v>参加</x:v>
      </x:c>
      <x:c r="C25" s="1" t="str">
        <x:v>生徒として、使えない言語を選んだ理由を知りたい</x:v>
      </x:c>
      <x:c r="D25" s="1" t="str">
        <x:v>言語なし・非対応言語での参加を拒否し、対応言語で参加し直せる</x:v>
      </x:c>
      <x:c r="E25" s="1" t="str">
        <x:v>実装あり</x:v>
      </x:c>
      <x:c r="F25" s="1" t="str">
        <x:v>部分確認</x:v>
      </x:c>
      <x:c r="G25" s="1" t="str">
        <x:v>自動</x:v>
      </x:c>
      <x:c r="H25" s="1" t="str">
        <x:v>接続可能なルーム</x:v>
      </x:c>
      <x:c r="I25" s="1" t="str">
        <x:v>lang欠落/frでjoinし、enで再試行</x:v>
      </x:c>
      <x:c r="J25" s="1" t="str">
        <x:v>E-14</x:v>
      </x:c>
      <x:c r="K25" s="1" t="str">
        <x:v>server/main.py;web/i18n.js</x:v>
      </x:c>
      <x:c r="L25" s="1" t="str">
        <x:v>tests/integration/test_ws_boundary.py::TestJoin::test_unsupported_lang_rejected;tests/integration/test_ws_boundary.py::TestJoin::test_student_join_without_lang_rejected;qa_checks/test_ops05_join05_contracts.py::test_student_can_retry_supported_language_on_same_websocket_after_bad_lang</x:v>
      </x:c>
      <x:c r="M25" s="1" t="str">
        <x:v>pytest: pass=4, fail=0, error=0, skip=0. docs/qa/runs/20260908-112049/story-evidence.json #JOIN-05</x:v>
      </x:c>
      <x:c r="N25" s="1" t="str">
        <x:v>言語なし/非対応言語の拒否後、同じ実WebSocketから対応言語で再参加できることを確認
テスト証拠を現行sourceで再監査できないため部分確認。</x:v>
      </x:c>
      <x:c r="O25" s="1" t="str">
        <x:v>2026-09-08T11:23:44.768830+09:00</x:v>
      </x:c>
    </x:row>
    <x:row r="26" ht="100" customHeight="1">
      <x:c r="A26" s="4" t="str">
        <x:v>JOIN-06</x:v>
      </x:c>
      <x:c r="B26" s="4" t="str">
        <x:v>参加</x:v>
      </x:c>
      <x:c r="C26" s="4" t="str">
        <x:v>生徒として、満員ならその理由を知りたい</x:v>
      </x:c>
      <x:c r="D26" s="4" t="str">
        <x:v>設定上限到達時にfullを返し、既存生徒の入り直しは席を二重計上しない</x:v>
      </x:c>
      <x:c r="E26" s="4" t="str">
        <x:v>実装あり</x:v>
      </x:c>
      <x:c r="F26" s="4" t="str">
        <x:v>部分確認</x:v>
      </x:c>
      <x:c r="G26" s="4" t="str">
        <x:v>自動</x:v>
      </x:c>
      <x:c r="H26" s="4" t="str">
        <x:v>小さなmax_students設定</x:v>
      </x:c>
      <x:c r="I26" s="4" t="str">
        <x:v>上限まで参加し追加参加・同一接続の再joinを確認</x:v>
      </x:c>
      <x:c r="J26" s="4" t="str">
        <x:v>N-02</x:v>
      </x:c>
      <x:c r="K26" s="4" t="str">
        <x:v>server/main.py;server/config.py;web/i18n.js</x:v>
      </x:c>
      <x:c r="L26" s="4" t="str">
        <x:v>tests/integration/test_ws_defenses.py::TestStudentCap::test_students_beyond_the_cap_are_told_the_room_is_full;tests/integration/test_ws_defenses.py::TestStudentCap::test_the_cap_does_not_block_a_rejoin_on_the_same_socket</x:v>
      </x:c>
      <x:c r="M26" s="4" t="str">
        <x:v>pytest: pass=2, fail=0, error=0, skip=0. docs/qa/runs/20260908-112049/story-evidence.json #JOIN-06</x:v>
      </x:c>
      <x:c r="N26" s="4" t="str">
        <x:v>小さな上限でfull応答と同一接続再joinの非二重計上を直接確認。現行上限64名の実負荷保証は別途
テスト証拠を現行sourceで再監査できないため部分確認。</x:v>
      </x:c>
      <x:c r="O26" s="4" t="str">
        <x:v>2026-09-08T11:23:44.768830+09:00</x:v>
      </x:c>
    </x:row>
    <x:row r="27" ht="114" customHeight="1">
      <x:c r="A27" s="1" t="str">
        <x:v>TEACH-01</x:v>
      </x:c>
      <x:c r="B27" s="1" t="str">
        <x:v>配信操作</x:v>
      </x:c>
      <x:c r="C27" s="1" t="str">
        <x:v>先生として、開始ボタンで配信したい</x:v>
      </x:c>
      <x:c r="D27" s="1" t="str">
        <x:v>参加成功後に開始可能。マイク許可後liveになり音声を送信し、生徒に配信中を示す</x:v>
      </x:c>
      <x:c r="E27" s="1" t="str">
        <x:v>実装あり</x:v>
      </x:c>
      <x:c r="F27" s="1" t="str">
        <x:v>部分確認</x:v>
      </x:c>
      <x:c r="G27" s="1" t="str">
        <x:v>ブラウザ</x:v>
      </x:c>
      <x:c r="H27" s="1" t="str">
        <x:v>先生・生徒接続</x:v>
      </x:c>
      <x:c r="I27" s="1" t="str">
        <x:v>開始を押し許可して話す</x:v>
      </x:c>
      <x:c r="J27" s="1" t="str">
        <x:v>F-01;F-09</x:v>
      </x:c>
      <x:c r="K27" s="1" t="str">
        <x:v>web/teacher.js;server/main.py</x:v>
      </x:c>
      <x:c r="L27" s="1" t="str">
        <x:v>qa_checks/test_physical_windows_evidence.py::test_teach01_physical_microphone_sends_pcm_frames_over_loopback_ws_without_persistence;tests/integration/test_ws_boundary.py::TestCaptionFlow::test_teacher_speech_reaches_student_in_selected_lang</x:v>
      </x:c>
      <x:c r="M27" s="1" t="str">
        <x:v>docs/qa/runs/20260908-112500-browser/browser.json #TEACH-01; start_with_media_permission=pass
docs/qa/runs/20260908-112624-native-browser/browser.json #TEACH-01; native_audio_to_caption=pass
pytest: pass=2, fail=0, error=0, skip=0. docs/qa/runs/20260908-112900/story-evidence.json #TEACH-01</x:v>
      </x:c>
      <x:c r="N27" s="1" t="str">
        <x:v>物理マイクの実Edge収音・AudioWorklet・実HTTP/WS送信と、実Edgeの開始/live/生徒字幕経路を複合確認
テスト証拠を現行sourceで再監査できないため部分確認。</x:v>
      </x:c>
      <x:c r="O27" s="1" t="str">
        <x:v>2026-09-08T11:29:07.997406+09:00</x:v>
      </x:c>
    </x:row>
    <x:row r="28" ht="100" customHeight="1">
      <x:c r="A28" s="4" t="str">
        <x:v>TEACH-02</x:v>
      </x:c>
      <x:c r="B28" s="4" t="str">
        <x:v>配信操作</x:v>
      </x:c>
      <x:c r="C28" s="4" t="str">
        <x:v>先生として、マイク拒否後にやり直したい</x:v>
      </x:c>
      <x:c r="D28" s="4" t="str">
        <x:v>権限拒否時に理由を表示しliveにしない。許可変更後の再試行で配信できる</x:v>
      </x:c>
      <x:c r="E28" s="4" t="str">
        <x:v>実装あり</x:v>
      </x:c>
      <x:c r="F28" s="4" t="str">
        <x:v>部分確認</x:v>
      </x:c>
      <x:c r="G28" s="4" t="str">
        <x:v>ブラウザ</x:v>
      </x:c>
      <x:c r="H28" s="4" t="str">
        <x:v>マイク権限未許可</x:v>
      </x:c>
      <x:c r="I28" s="4" t="str">
        <x:v>開始で拒否→許可へ変更→再度開始</x:v>
      </x:c>
      <x:c r="J28" s="4" t="str">
        <x:v>F-01</x:v>
      </x:c>
      <x:c r="K28" s="4" t="str">
        <x:v>web/teacher.js:ensureMic</x:v>
      </x:c>
      <x:c r="L28" s="4" t="str">
        <x:v/>
      </x:c>
      <x:c r="M28" s="4" t="str">
        <x:v>docs/qa/runs/20260908-112500-browser/browser.json #TEACH-02; mic_denied_then_retry=pass
docs/qa/runs/20260908-112624-native-browser/browser.json #TEACH-02; native_mic_denied_same_tab_retry_to_caption=pass</x:v>
      </x:c>
      <x:c r="N28" s="4" t="str">
        <x:v>
テスト証拠を現行sourceで再監査できないため部分確認。</x:v>
      </x:c>
      <x:c r="O28" s="4" t="str">
        <x:v>2026-09-08T11:28:16.537329+09:00</x:v>
      </x:c>
    </x:row>
    <x:row r="29" ht="114" customHeight="1">
      <x:c r="A29" s="1" t="str">
        <x:v>TEACH-03</x:v>
      </x:c>
      <x:c r="B29" s="1" t="str">
        <x:v>配信操作</x:v>
      </x:c>
      <x:c r="C29" s="1" t="str">
        <x:v>先生として、一時停止と再開を操作したい</x:v>
      </x:c>
      <x:c r="D29" s="1" t="str">
        <x:v>live時だけ停止可能。停止直前の発話を確定し、停止中音声は送らず、再開表示で続行できる</x:v>
      </x:c>
      <x:c r="E29" s="1" t="str">
        <x:v>実装あり</x:v>
      </x:c>
      <x:c r="F29" s="1" t="str">
        <x:v>部分確認</x:v>
      </x:c>
      <x:c r="G29" s="1" t="str">
        <x:v>ブラウザ</x:v>
      </x:c>
      <x:c r="H29" s="1" t="str">
        <x:v>配信中</x:v>
      </x:c>
      <x:c r="I29" s="1" t="str">
        <x:v>発話途中で停止→停止中発話→再開して発話</x:v>
      </x:c>
      <x:c r="J29" s="1" t="str">
        <x:v>F-09</x:v>
      </x:c>
      <x:c r="K29" s="1" t="str">
        <x:v>web/teacher.js;server/main.py;server/pipeline.py</x:v>
      </x:c>
      <x:c r="L29" s="1" t="str">
        <x:v>tests/integration/test_ws_boundary.py::TestSessionControl;tests/integration/test_turn_detection.py</x:v>
      </x:c>
      <x:c r="M29" s="1" t="str">
        <x:v>pytest: pass=4, fail=0, error=0, skip=0. docs/qa/runs/20260908-112049/story-evidence.json #TEACH-03
docs/qa/runs/20260908-112500-browser/browser.json #TEACH-03; pause_resume_buttons=pass
docs/qa/runs/20260908-112624-native-browser/browser.json #TEACH-03; native_pause_flush_gate_resume=pass</x:v>
      </x:c>
      <x:c r="N29" s="1" t="str">
        <x:v>UIボタン状態・停止直前の語尾も確認
テスト証拠を現行sourceで再監査できないため部分確認。</x:v>
      </x:c>
      <x:c r="O29" s="1" t="str">
        <x:v>2026-09-08T11:28:16.537329+09:00</x:v>
      </x:c>
    </x:row>
    <x:row r="30" ht="131" customHeight="1">
      <x:c r="A30" s="4" t="str">
        <x:v>TEACH-04</x:v>
      </x:c>
      <x:c r="B30" s="4" t="str">
        <x:v>配信操作</x:v>
      </x:c>
      <x:c r="C30" s="4" t="str">
        <x:v>先生として、授業を終了したい</x:v>
      </x:c>
      <x:c r="D30" s="4" t="str">
        <x:v>終了時に残りの発話を確定し終了状態を全員に表示。以後の音声を処理しない</x:v>
      </x:c>
      <x:c r="E30" s="4" t="str">
        <x:v>実装あり</x:v>
      </x:c>
      <x:c r="F30" s="4" t="str">
        <x:v>部分確認</x:v>
      </x:c>
      <x:c r="G30" s="4" t="str">
        <x:v>ブラウザ</x:v>
      </x:c>
      <x:c r="H30" s="4" t="str">
        <x:v>liveまたはpaused</x:v>
      </x:c>
      <x:c r="I30" s="4" t="str">
        <x:v>終了→発話を送り字幕が増えないことを確認</x:v>
      </x:c>
      <x:c r="J30" s="4" t="str">
        <x:v>F-09</x:v>
      </x:c>
      <x:c r="K30" s="4" t="str">
        <x:v>web/teacher.js;server/main.py;server/pipeline.py</x:v>
      </x:c>
      <x:c r="L30" s="4" t="str">
        <x:v>tests/integration/test_ws_boundary.py::TestSessionControl</x:v>
      </x:c>
      <x:c r="M30" s="4" t="str">
        <x:v>pytest: pass=2, fail=0, error=0, skip=0. docs/qa/runs/20260908-112049/story-evidence.json #TEACH-04
docs/qa/runs/20260908-112500-browser/browser.json #TEACH-04; end_buttons=pass
docs/qa/runs/20260908-112624-native-browser/browser.json #TEACH-04; native_end_live_flush_and_gate=pass, native_end_paused_and_gate=pass</x:v>
      </x:c>
      <x:c r="N30" s="4" t="str">
        <x:v>
テスト証拠を現行sourceで再監査できないため部分確認。</x:v>
      </x:c>
      <x:c r="O30" s="4" t="str">
        <x:v>2026-09-08T11:28:16.537329+09:00</x:v>
      </x:c>
    </x:row>
    <x:row r="31" ht="100" customHeight="1">
      <x:c r="A31" s="1" t="str">
        <x:v>TEACH-05</x:v>
      </x:c>
      <x:c r="B31" s="1" t="str">
        <x:v>配信操作</x:v>
      </x:c>
      <x:c r="C31" s="1" t="str">
        <x:v>先生として、終了後に開始し直して授業を続けたい</x:v>
      </x:c>
      <x:c r="D31" s="1" t="str">
        <x:v>再開始後は字幕配信・切断復元・記録が再び機能する</x:v>
      </x:c>
      <x:c r="E31" s="1" t="str">
        <x:v>要確認</x:v>
      </x:c>
      <x:c r="F31" s="1" t="str">
        <x:v>不合格</x:v>
      </x:c>
      <x:c r="G31" s="1" t="str">
        <x:v>追加検証</x:v>
      </x:c>
      <x:c r="H31" s="1" t="str">
        <x:v>同じサーバーで一度終了済み</x:v>
      </x:c>
      <x:c r="I31" s="1" t="str">
        <x:v>終了→開始→発話→生徒切断復帰→再終了して記録確認</x:v>
      </x:c>
      <x:c r="J31" s="1" t="str">
        <x:v>現行UIの開始再許可</x:v>
      </x:c>
      <x:c r="K31" s="1" t="str">
        <x:v>web/teacher.js:setButtons;web/student.js;server/recorder.py;server/main.py:handle_control;server/pipeline.py:finalize_recording</x:v>
      </x:c>
      <x:c r="L31" s="1" t="str">
        <x:v>qa_checks/test_story_edges.py::test_teach05_recording_survives_end_start_end</x:v>
      </x:c>
      <x:c r="M31" s="1" t="str">
        <x:v>pytest: pass=0, fail=1, error=0, skip=0. docs/qa/runs/20260908-112049/story-evidence.json #TEACH-05
docs/qa/runs/20260908-112500-browser/browser.json #TEACH-05; restarted_lesson_can_reconnect=fail</x:v>
      </x:c>
      <x:c r="N31" s="1" t="str">
        <x:v>再現2件: 再開始後の生徒再接続が止まる。2回目の授業の記録seqが保存されない。 修正は未実施。</x:v>
      </x:c>
      <x:c r="O31" s="1" t="str">
        <x:v>2026-09-08T11:25:35.655682+09:00</x:v>
      </x:c>
    </x:row>
    <x:row r="32" ht="100" customHeight="1">
      <x:c r="A32" s="4" t="str">
        <x:v>MIC-01</x:v>
      </x:c>
      <x:c r="B32" s="4" t="str">
        <x:v>マイク</x:v>
      </x:c>
      <x:c r="C32" s="4" t="str">
        <x:v>先生として、使う入力マイクを選びたい</x:v>
      </x:c>
      <x:c r="D32" s="4" t="str">
        <x:v>許可後にラベル付き入力一覧が出て選択したデバイスが使われる</x:v>
      </x:c>
      <x:c r="E32" s="4" t="str">
        <x:v>実装あり</x:v>
      </x:c>
      <x:c r="F32" s="4" t="str">
        <x:v>部分確認</x:v>
      </x:c>
      <x:c r="G32" s="4" t="str">
        <x:v>ブラウザ</x:v>
      </x:c>
      <x:c r="H32" s="4" t="str">
        <x:v>複数マイクまたは模擬入力</x:v>
      </x:c>
      <x:c r="I32" s="4" t="str">
        <x:v>許可前後の一覧を比べ別マイクへ切替</x:v>
      </x:c>
      <x:c r="J32" s="4" t="str">
        <x:v>F-01;#30</x:v>
      </x:c>
      <x:c r="K32" s="4" t="str">
        <x:v>web/teacher.js:refreshMicList,onMicSelected</x:v>
      </x:c>
      <x:c r="L32" s="4" t="str">
        <x:v/>
      </x:c>
      <x:c r="M32" s="4" t="str">
        <x:v>docs/qa/runs/20260908-062424-browser/browser.json #MIC-01; microphone_list_and_selection=pass
docs/qa/runs/20260908-112500-browser/browser.json #MIC-01; microphone_list_and_selection=pass</x:v>
      </x:c>
      <x:c r="N32" s="4" t="str">
        <x:v>Edge模擬デバイスで許可前後のラベルと選択先streamを確認。物理複数マイクは実機確認を残す
テスト証拠を現行sourceで再監査できないため部分確認。</x:v>
      </x:c>
      <x:c r="O32" s="4" t="str">
        <x:v>2026-09-08T11:25:35.655682+09:00</x:v>
      </x:c>
    </x:row>
    <x:row r="33" ht="100" customHeight="1">
      <x:c r="A33" s="1" t="str">
        <x:v>MIC-02</x:v>
      </x:c>
      <x:c r="B33" s="1" t="str">
        <x:v>マイク</x:v>
      </x:c>
      <x:c r="C33" s="1" t="str">
        <x:v>先生として、マイク選択を次回も使いたい</x:v>
      </x:c>
      <x:c r="D33" s="1" t="str">
        <x:v>選択IDを保存・復元し、前回マイクが無ければ理由付きで既定へ戻る</x:v>
      </x:c>
      <x:c r="E33" s="1" t="str">
        <x:v>実装あり</x:v>
      </x:c>
      <x:c r="F33" s="1" t="str">
        <x:v>部分確認</x:v>
      </x:c>
      <x:c r="G33" s="1" t="str">
        <x:v>ブラウザ</x:v>
      </x:c>
      <x:c r="H33" s="1" t="str">
        <x:v>保存済みデバイス選択</x:v>
      </x:c>
      <x:c r="I33" s="1" t="str">
        <x:v>再読込→復元。次にデバイスを外して再試行</x:v>
      </x:c>
      <x:c r="J33" s="1" t="str">
        <x:v>#30</x:v>
      </x:c>
      <x:c r="K33" s="1" t="str">
        <x:v>web/teacher.js:ensureMic,refreshMicList</x:v>
      </x:c>
      <x:c r="L33" s="1" t="str">
        <x:v/>
      </x:c>
      <x:c r="M33" s="1" t="str">
        <x:v>docs/qa/runs/20260908-062424-browser/browser.json #MIC-02; microphone_persistence_and_missing_fallback=pass
docs/qa/runs/20260908-112500-browser/browser.json #MIC-02; microphone_persistence_and_missing_fallback=pass</x:v>
      </x:c>
      <x:c r="N33" s="1" t="str">
        <x:v>
テスト証拠を現行sourceで再監査できないため部分確認。</x:v>
      </x:c>
      <x:c r="O33" s="1" t="str">
        <x:v>2026-09-08T11:25:35.655682+09:00</x:v>
      </x:c>
    </x:row>
    <x:row r="34" ht="100" customHeight="1">
      <x:c r="A34" s="4" t="str">
        <x:v>MIC-03</x:v>
      </x:c>
      <x:c r="B34" s="4" t="str">
        <x:v>マイク</x:v>
      </x:c>
      <x:c r="C34" s="4" t="str">
        <x:v>先生として、切替失敗でも現在のマイクで話し続けたい</x:v>
      </x:c>
      <x:c r="D34" s="4" t="str">
        <x:v>新マイク取得成功後に旧入力を閉じる。失敗時は旧入力を保ち選択を戻す</x:v>
      </x:c>
      <x:c r="E34" s="4" t="str">
        <x:v>実装あり</x:v>
      </x:c>
      <x:c r="F34" s="4" t="str">
        <x:v>部分確認</x:v>
      </x:c>
      <x:c r="G34" s="4" t="str">
        <x:v>ブラウザ</x:v>
      </x:c>
      <x:c r="H34" s="4" t="str">
        <x:v>配信中</x:v>
      </x:c>
      <x:c r="I34" s="4" t="str">
        <x:v>取得成功とNotReadableErrorを模擬しトラック寿命と選択を確認</x:v>
      </x:c>
      <x:c r="J34" s="4" t="str">
        <x:v>#30</x:v>
      </x:c>
      <x:c r="K34" s="4" t="str">
        <x:v>web/teacher.js:attachStream,onMicSelected</x:v>
      </x:c>
      <x:c r="L34" s="4" t="str">
        <x:v/>
      </x:c>
      <x:c r="M34" s="4" t="str">
        <x:v>docs/qa/runs/20260908-062424-browser/browser.json #MIC-03; microphone_switch_failure_preserves_old_track=pass
docs/qa/runs/20260908-112500-browser/browser.json #MIC-03; microphone_switch_failure_preserves_old_track=pass</x:v>
      </x:c>
      <x:c r="N34" s="4" t="str">
        <x:v>物理抜き差しも実機で確認
テスト証拠を現行sourceで再監査できないため部分確認。</x:v>
      </x:c>
      <x:c r="O34" s="4" t="str">
        <x:v>2026-09-08T11:25:35.655682+09:00</x:v>
      </x:c>
    </x:row>
    <x:row r="35" ht="100" customHeight="1">
      <x:c r="A35" s="1" t="str">
        <x:v>MIC-04</x:v>
      </x:c>
      <x:c r="B35" s="1" t="str">
        <x:v>マイク</x:v>
      </x:c>
      <x:c r="C35" s="1" t="str">
        <x:v>先生として、収音できているか目で知りたい</x:v>
      </x:c>
      <x:c r="D35" s="1" t="str">
        <x:v>PCMのRMSに応じて入力メーターが動き、無音で静音表示になる</x:v>
      </x:c>
      <x:c r="E35" s="1" t="str">
        <x:v>実装あり</x:v>
      </x:c>
      <x:c r="F35" s="1" t="str">
        <x:v>部分確認</x:v>
      </x:c>
      <x:c r="G35" s="1" t="str">
        <x:v>ブラウザ</x:v>
      </x:c>
      <x:c r="H35" s="1" t="str">
        <x:v>マイク取得済み</x:v>
      </x:c>
      <x:c r="I35" s="1" t="str">
        <x:v>既知振幅PCM・無音PCMを入力</x:v>
      </x:c>
      <x:c r="J35" s="1" t="str">
        <x:v>E-01</x:v>
      </x:c>
      <x:c r="K35" s="1" t="str">
        <x:v>web/teacher.js:updateMicMeter</x:v>
      </x:c>
      <x:c r="L35" s="1" t="str">
        <x:v/>
      </x:c>
      <x:c r="M35" s="1" t="str">
        <x:v>docs/qa/runs/20260908-062424-browser/browser.json #MIC-04; microphone_meter=pass
docs/qa/runs/20260908-112500-browser/browser.json #MIC-04; microphone_meter=pass</x:v>
      </x:c>
      <x:c r="N35" s="1" t="str">
        <x:v>
テスト証拠を現行sourceで再監査できないため部分確認。</x:v>
      </x:c>
      <x:c r="O35" s="1" t="str">
        <x:v>2026-09-08T11:25:35.655682+09:00</x:v>
      </x:c>
    </x:row>
    <x:row r="36" ht="131" customHeight="1">
      <x:c r="A36" s="4" t="str">
        <x:v>MIC-05</x:v>
      </x:c>
      <x:c r="B36" s="4" t="str">
        <x:v>マイク</x:v>
      </x:c>
      <x:c r="C36" s="4" t="str">
        <x:v>生徒として、先生の音声が一定形式で届いてほしい</x:v>
      </x:c>
      <x:c r="D36" s="4" t="str">
        <x:v>入力を16kHz mono PCM16・1600サンプルごとに変換。live時だけ送信しスピーカーへ出力しない</x:v>
      </x:c>
      <x:c r="E36" s="4" t="str">
        <x:v>実装あり</x:v>
      </x:c>
      <x:c r="F36" s="4" t="str">
        <x:v>不合格</x:v>
      </x:c>
      <x:c r="G36" s="4" t="str">
        <x:v>追加検証</x:v>
      </x:c>
      <x:c r="H36" s="4" t="str">
        <x:v>48kHz/44.1kHz/16kHz入力</x:v>
      </x:c>
      <x:c r="I36" s="4" t="str">
        <x:v>音声workletで連続信号・無音・クリップ信号の出力を検証</x:v>
      </x:c>
      <x:c r="J36" s="4" t="str">
        <x:v>F-01</x:v>
      </x:c>
      <x:c r="K36" s="4" t="str">
        <x:v>web/audio-worklet.js;web/teacher.js:ensureMic</x:v>
      </x:c>
      <x:c r="L36" s="4" t="str">
        <x:v/>
      </x:c>
      <x:c r="M36" s="4" t="str">
        <x:v>docs/qa/runs/20260906-223938-browser/browser.json #MIC-05; audio_worklet_rate_and_send_gate=pass
docs/qa/runs/20260908-112500-browser/browser.json #MIC-05; audio_worklet_rate_and_send_gate=pass, worklet_16000hz_60s_sample_count=pass, worklet_44100hz_60s_sample_count=fail, worklet_48000hz_60s_sample_count=fail, worklet_silence_and_clipping=pass</x:v>
      </x:c>
      <x:c r="N36" s="4" t="str">
        <x:v>再現: 60秒入力で44.1kHzは1484、48kHzは7500出力サンプルが過剰。Workletがブロック境界で読出し位置の越境分を正しく持ち越せないことを確認。docs/qa/findings.md。修正未実施。</x:v>
      </x:c>
      <x:c r="O36" s="4" t="str">
        <x:v>2026-09-08T11:25:35.655682+09:00</x:v>
      </x:c>
    </x:row>
    <x:row r="37" ht="100" customHeight="1">
      <x:c r="A37" s="1" t="str">
        <x:v>ASR-01</x:v>
      </x:c>
      <x:c r="B37" s="1" t="str">
        <x:v>音声認識</x:v>
      </x:c>
      <x:c r="C37" s="1" t="str">
        <x:v>生徒として、日本語発話を字幕で理解したい</x:v>
      </x:c>
      <x:c r="D37" s="1" t="str">
        <x:v>実日本語音声がローカル認識され、その原文から選択言語の字幕が届く</x:v>
      </x:c>
      <x:c r="E37" s="1" t="str">
        <x:v>実装あり</x:v>
      </x:c>
      <x:c r="F37" s="1" t="str">
        <x:v>部分確認</x:v>
      </x:c>
      <x:c r="G37" s="1" t="str">
        <x:v>実モデル</x:v>
      </x:c>
      <x:c r="H37" s="1" t="str">
        <x:v>実モデルと日本語音源</x:v>
      </x:c>
      <x:c r="I37" s="1" t="str">
        <x:v>音源をPCMで送り実認識結果と字幕を確認</x:v>
      </x:c>
      <x:c r="J37" s="1" t="str">
        <x:v>F-02;F-03</x:v>
      </x:c>
      <x:c r="K37" s="1" t="str">
        <x:v>server/asr;server/pipeline.py</x:v>
      </x:c>
      <x:c r="L37" s="1" t="str">
        <x:v>qa_checks/test_real_model_story_e2e.py::test_asr01_real_japanese_audio_reaches_selected_languages_locally</x:v>
      </x:c>
      <x:c r="M37" s="1" t="str">
        <x:v>pytest: pass=1, fail=0, error=0, skip=0. docs/qa/runs/20260908-112049/story-evidence.json #ASR-01</x:v>
      </x:c>
      <x:c r="N37" s="1" t="str">
        <x:v>実sherpa+Hy-MT2で同一原文・同一seqの英中字幕と外部通信0を確認。モデル/WAV不在時だけskip
テスト証拠を現行sourceで再監査できないため部分確認。</x:v>
      </x:c>
      <x:c r="O37" s="1" t="str">
        <x:v>2026-09-08T11:23:44.768830+09:00</x:v>
      </x:c>
    </x:row>
    <x:row r="38" ht="100" customHeight="1">
      <x:c r="A38" s="4" t="str">
        <x:v>ASR-02</x:v>
      </x:c>
      <x:c r="B38" s="4" t="str">
        <x:v>音声認識</x:v>
      </x:c>
      <x:c r="C38" s="4" t="str">
        <x:v>生徒として、発話の区切りごとに字幕を読みたい</x:v>
      </x:c>
      <x:c r="D38" s="4" t="str">
        <x:v>無音500ms以上でSegment確定。短い間では分割せず、無音だけでは発話を作らない</x:v>
      </x:c>
      <x:c r="E38" s="4" t="str">
        <x:v>実装あり</x:v>
      </x:c>
      <x:c r="F38" s="4" t="str">
        <x:v>部分確認</x:v>
      </x:c>
      <x:c r="G38" s="4" t="str">
        <x:v>自動</x:v>
      </x:c>
      <x:c r="H38" s="4" t="str">
        <x:v>決定的VAD</x:v>
      </x:c>
      <x:c r="I38" s="4" t="str">
        <x:v>短/長無音・2発話・連続無音を入力</x:v>
      </x:c>
      <x:c r="J38" s="4" t="str">
        <x:v>F-02;E-02</x:v>
      </x:c>
      <x:c r="K38" s="4" t="str">
        <x:v>server/audio/vad.py</x:v>
      </x:c>
      <x:c r="L38" s="4" t="str">
        <x:v>tests/unit/test_vad.py::test_speech_followed_by_silence_yields_one_segment;tests/unit/test_vad.py::test_silence_only_yields_nothing;tests/unit/test_vad.py::test_short_pause_does_not_split;tests/unit/test_vad.py::test_two_utterances_split_by_long_silence</x:v>
      </x:c>
      <x:c r="M38" s="4" t="str">
        <x:v>pytest: pass=4, fail=0, error=0, skip=0. docs/qa/runs/20260908-112049/story-evidence.json #ASR-02</x:v>
      </x:c>
      <x:c r="N38" s="4" t="str">
        <x:v>実Sileroと教室雑音の品質は別検証
テスト証拠を現行sourceで再監査できないため部分確認。</x:v>
      </x:c>
      <x:c r="O38" s="4" t="str">
        <x:v>2026-09-08T11:23:44.768830+09:00</x:v>
      </x:c>
    </x:row>
    <x:row r="39" ht="100" customHeight="1">
      <x:c r="A39" s="1" t="str">
        <x:v>ASR-03</x:v>
      </x:c>
      <x:c r="B39" s="1" t="str">
        <x:v>音声認識</x:v>
      </x:c>
      <x:c r="C39" s="1" t="str">
        <x:v>生徒として、長い話でも字幕を待ち続けずに済ませたい</x:v>
      </x:c>
      <x:c r="D39" s="1" t="str">
        <x:v>30秒上限で音声を強制分割し、その後の入力も処理する</x:v>
      </x:c>
      <x:c r="E39" s="1" t="str">
        <x:v>実装あり</x:v>
      </x:c>
      <x:c r="F39" s="1" t="str">
        <x:v>部分確認</x:v>
      </x:c>
      <x:c r="G39" s="1" t="str">
        <x:v>自動</x:v>
      </x:c>
      <x:c r="H39" s="1" t="str">
        <x:v>長い連続発話</x:v>
      </x:c>
      <x:c r="I39" s="1" t="str">
        <x:v>上限を超すPCMを流し分割長と継続を確認</x:v>
      </x:c>
      <x:c r="J39" s="1" t="str">
        <x:v>E-03</x:v>
      </x:c>
      <x:c r="K39" s="1" t="str">
        <x:v>server/audio/vad.py</x:v>
      </x:c>
      <x:c r="L39" s="1" t="str">
        <x:v>tests/unit/test_vad.py::test_forced_split_at_max_utterance</x:v>
      </x:c>
      <x:c r="M39" s="1" t="str">
        <x:v>pytest: pass=1, fail=0, error=0, skip=0. docs/qa/runs/20260908-112049/story-evidence.json #ASR-03</x:v>
      </x:c>
      <x:c r="N39" s="1" t="str">
        <x:v>
テスト証拠を現行sourceで再監査できないため部分確認。</x:v>
      </x:c>
      <x:c r="O39" s="1" t="str">
        <x:v>2026-09-08T11:23:44.768830+09:00</x:v>
      </x:c>
    </x:row>
    <x:row r="40" ht="114" customHeight="1">
      <x:c r="A40" s="4" t="str">
        <x:v>ASR-04</x:v>
      </x:c>
      <x:c r="B40" s="4" t="str">
        <x:v>音声認識</x:v>
      </x:c>
      <x:c r="C40" s="4" t="str">
        <x:v>生徒として、発話の語頭を落とさず読めるようにしたい</x:v>
      </x:c>
      <x:c r="D40" s="4" t="str">
        <x:v>プリロールと開始判定待ちの音声を含め、sherpaでは600msリードインを付ける</x:v>
      </x:c>
      <x:c r="E40" s="4" t="str">
        <x:v>実装あり</x:v>
      </x:c>
      <x:c r="F40" s="4" t="str">
        <x:v>部分確認</x:v>
      </x:c>
      <x:c r="G40" s="4" t="str">
        <x:v>自動</x:v>
      </x:c>
      <x:c r="H40" s="4" t="str">
        <x:v>短い語頭音声</x:v>
      </x:c>
      <x:c r="I40" s="4" t="str">
        <x:v>開始判定前の音声保持とsherpa入力パディングを検証</x:v>
      </x:c>
      <x:c r="J40" s="4" t="str">
        <x:v>F-02;#28</x:v>
      </x:c>
      <x:c r="K40" s="4" t="str">
        <x:v>server/audio/vad.py;server/asr/sherpa_engine.py</x:v>
      </x:c>
      <x:c r="L40" s="4" t="str">
        <x:v>tests/unit/test_vad.py::test_pre_roll_included_before_speech_onset;tests/unit/test_vad.py::test_start_speech_ms_still_keeps_the_onset_audio;tests/unit/test_sherpa_engine.py::TestConfig::test_defaults_match_the_measured_winner;tests/unit/test_sherpa_engine.py::TestLeadIn::test_lead_in_is_prepended_to_the_audio</x:v>
      </x:c>
      <x:c r="M40" s="4" t="str">
        <x:v>pytest: pass=4, fail=0, error=0, skip=0. docs/qa/runs/20260908-112049/story-evidence.json #ASR-04</x:v>
      </x:c>
      <x:c r="N40" s="4" t="str">
        <x:v>プリロール・開始判定中の音声保持・既定600ms・実入力前置を直接確認。実発話の語頭精度は品質試験で別確認
テスト証拠を現行sourceで再監査できないため部分確認。</x:v>
      </x:c>
      <x:c r="O40" s="4" t="str">
        <x:v>2026-09-08T11:23:44.768830+09:00</x:v>
      </x:c>
    </x:row>
    <x:row r="41" ht="114" customHeight="1">
      <x:c r="A41" s="1" t="str">
        <x:v>ASR-05</x:v>
      </x:c>
      <x:c r="B41" s="1" t="str">
        <x:v>音声認識</x:v>
      </x:c>
      <x:c r="C41" s="1" t="str">
        <x:v>生徒として、雑音由来の定型字幕を避けたい</x:v>
      </x:c>
      <x:c r="D41" s="1" t="str">
        <x:v>空文字・確信度閾値超過・反復・既知幻覚文を配信/翻訳/採番しない</x:v>
      </x:c>
      <x:c r="E41" s="1" t="str">
        <x:v>実装あり</x:v>
      </x:c>
      <x:c r="F41" s="1" t="str">
        <x:v>部分確認</x:v>
      </x:c>
      <x:c r="G41" s="1" t="str">
        <x:v>自動</x:v>
      </x:c>
      <x:c r="H41" s="1" t="str">
        <x:v>幻覚結果を返すASR</x:v>
      </x:c>
      <x:c r="I41" s="1" t="str">
        <x:v>閾値境界と既知幻覚、正常発話を続けて入力</x:v>
      </x:c>
      <x:c r="J41" s="1" t="str">
        <x:v>E-04</x:v>
      </x:c>
      <x:c r="K41" s="1" t="str">
        <x:v>server/asr/hallucination.py;server/pipeline.py</x:v>
      </x:c>
      <x:c r="L41" s="1" t="str">
        <x:v>tests/unit/test_hallucination_filter.py;tests/integration/test_ws_boundary.py::TestCaptionFlow::test_hallucination_text_is_not_delivered;qa_checks/test_pipeline_contracts.py::test_asr05_filtered_result_never_enters_confirmed_path;qa_checks/test_pipeline_contracts.py::test_asr05_exact_threshold_is_not_discarded</x:v>
      </x:c>
      <x:c r="M41" s="1" t="str">
        <x:v>pytest: pass=19, fail=0, error=0, skip=0. docs/qa/runs/20260908-112049/story-evidence.json #ASR-05</x:v>
      </x:c>
      <x:c r="N41" s="1" t="str">
        <x:v>実教室の誤認識をすべて除去する保証ではない 合格条件の全節とassertの対応を監査済み。docs/qa/README.md参照。
テスト証拠を現行sourceで再監査できないため部分確認。</x:v>
      </x:c>
      <x:c r="O41" s="1" t="str">
        <x:v>2026-09-08T11:23:44.768830+09:00</x:v>
      </x:c>
    </x:row>
    <x:row r="42" ht="100" customHeight="1">
      <x:c r="A42" s="4" t="str">
        <x:v>ASR-06</x:v>
      </x:c>
      <x:c r="B42" s="4" t="str">
        <x:v>音声認識</x:v>
      </x:c>
      <x:c r="C42" s="4" t="str">
        <x:v>先生として、教科用語の認識を補助したい</x:v>
      </x:c>
      <x:c r="D42" s="4" t="str">
        <x:v>sherpa modified_beam_searchに設定したhotwordsファイルと重みを渡せる</x:v>
      </x:c>
      <x:c r="E42" s="4" t="str">
        <x:v>実装あり</x:v>
      </x:c>
      <x:c r="F42" s="4" t="str">
        <x:v>部分確認</x:v>
      </x:c>
      <x:c r="G42" s="4" t="str">
        <x:v>実モデル</x:v>
      </x:c>
      <x:c r="H42" s="4" t="str">
        <x:v>用語ファイルとsherpaモデル</x:v>
      </x:c>
      <x:c r="I42" s="4" t="str">
        <x:v>用語あり/なしの同一音源を比較</x:v>
      </x:c>
      <x:c r="J42" s="4" t="str">
        <x:v>F-12;#28</x:v>
      </x:c>
      <x:c r="K42" s="4" t="str">
        <x:v>server/config.py;server/asr/sherpa_engine.py</x:v>
      </x:c>
      <x:c r="L42" s="4" t="str">
        <x:v>qa_checks/test_real_model_story_e2e.py::test_asr06_configured_hotword_corrects_known_domain_term</x:v>
      </x:c>
      <x:c r="M42" s="4" t="str">
        <x:v>pytest: pass=1, fail=0, error=0, skip=0. docs/qa/runs/20260908-112049/story-evidence.json #ASR-06</x:v>
      </x:c>
      <x:c r="N42" s="4" t="str">
        <x:v>同一雑音音源で設定→factory経路を通し「原子の風」から「原子の数」への実改善を確認
テスト証拠を現行sourceで再監査できないため部分確認。</x:v>
      </x:c>
      <x:c r="O42" s="4" t="str">
        <x:v>2026-09-08T11:23:44.768830+09:00</x:v>
      </x:c>
    </x:row>
    <x:row r="43" ht="100" customHeight="1">
      <x:c r="A43" s="1" t="str">
        <x:v>TURN-01</x:v>
      </x:c>
      <x:c r="B43" s="1" t="str">
        <x:v>発話区切り</x:v>
      </x:c>
      <x:c r="C43" s="1" t="str">
        <x:v>生徒として、言いかけを一枚の字幕にまとめて読みたい</x:v>
      </x:c>
      <x:c r="D43" s="1" t="str">
        <x:v>morphでは助詞・接続表現・言い淀みを保留し、続きと連結。文末は確定する</x:v>
      </x:c>
      <x:c r="E43" s="1" t="str">
        <x:v>実装あり</x:v>
      </x:c>
      <x:c r="F43" s="1" t="str">
        <x:v>部分確認</x:v>
      </x:c>
      <x:c r="G43" s="1" t="str">
        <x:v>自動</x:v>
      </x:c>
      <x:c r="H43" s="1" t="str">
        <x:v>morph/surface設定</x:v>
      </x:c>
      <x:c r="I43" s="1" t="str">
        <x:v>「光合成には」→「日光が必要です」を入力</x:v>
      </x:c>
      <x:c r="J43" s="1" t="str">
        <x:v>F-02;#27</x:v>
      </x:c>
      <x:c r="K43" s="1" t="str">
        <x:v>server/turn/assembler.py;server/turn/boundary.py</x:v>
      </x:c>
      <x:c r="L43" s="1" t="str">
        <x:v>tests/unit/test_turn_assembler.py;tests/integration/test_turn_detection.py</x:v>
      </x:c>
      <x:c r="M43" s="1" t="str">
        <x:v>pytest: pass=31, fail=0, error=0, skip=0. docs/qa/runs/20260908-112049/story-evidence.json #TURN-01</x:v>
      </x:c>
      <x:c r="N43" s="1" t="str">
        <x:v>表層ヒューリスティックの適用範囲で検証 合格条件の全節とassertの対応を監査済み。docs/qa/README.md参照。
テスト証拠を現行sourceで再監査できないため部分確認。</x:v>
      </x:c>
      <x:c r="O43" s="1" t="str">
        <x:v>2026-09-08T11:23:44.768830+09:00</x:v>
      </x:c>
    </x:row>
    <x:row r="44" ht="165" customHeight="1">
      <x:c r="A44" s="4" t="str">
        <x:v>TURN-02</x:v>
      </x:c>
      <x:c r="B44" s="4" t="str">
        <x:v>発話区切り</x:v>
      </x:c>
      <x:c r="C44" s="4" t="str">
        <x:v>生徒として、言いかけで止まっても字幕を受け取りたい</x:v>
      </x:c>
      <x:c r="D44" s="4" t="str">
        <x:v>継続形でも1000ms無音、30秒/12Segment上限、停止/終了で確定する</x:v>
      </x:c>
      <x:c r="E44" s="4" t="str">
        <x:v>実装あり</x:v>
      </x:c>
      <x:c r="F44" s="4" t="str">
        <x:v>部分確認</x:v>
      </x:c>
      <x:c r="G44" s="4" t="str">
        <x:v>自動</x:v>
      </x:c>
      <x:c r="H44" s="4" t="str">
        <x:v>morph設定</x:v>
      </x:c>
      <x:c r="I44" s="4" t="str">
        <x:v>保留→境界・上限・flushの各経路を実行</x:v>
      </x:c>
      <x:c r="J44" s="4" t="str">
        <x:v>#27</x:v>
      </x:c>
      <x:c r="K44" s="4" t="str">
        <x:v>server/turn/assembler.py;server/audio/vad.py;server/pipeline.py</x:v>
      </x:c>
      <x:c r="L44" s="4" t="str">
        <x:v>tests/unit/test_turn_assembler.py::TestMorphBoundary;tests/unit/test_turn_assembler.py::TestMergeIsBounded;tests/unit/test_vad.py::test_boundary_fires_once_after_force_silence;qa_checks/test_pipeline_contracts.py::test_turn02_controls_flush_pending_morph_turn;qa_checks/test_pipeline_contracts.py::test_turn02_shipped_twelve_segment_limit;qa_checks/test_pipeline_contracts.py::test_turn02_shipped_thirty_second_limit;qa_checks/test_pipeline_contracts.py::test_turn02_shipped_one_second_silence_boundary</x:v>
      </x:c>
      <x:c r="M44" s="4" t="str">
        <x:v>pytest: pass=11, fail=0, error=0, skip=0. docs/qa/runs/20260908-112049/story-evidence.json #TURN-02</x:v>
      </x:c>
      <x:c r="N44" s="4" t="str">
        <x:v> 合格条件の全節とassertの対応を監査済み。docs/qa/README.md参照。
テスト証拠を現行sourceで再監査できないため部分確認。</x:v>
      </x:c>
      <x:c r="O44" s="4" t="str">
        <x:v>2026-09-08T11:23:44.768830+09:00</x:v>
      </x:c>
    </x:row>
    <x:row r="45" ht="100" customHeight="1">
      <x:c r="A45" s="1" t="str">
        <x:v>TURN-03</x:v>
      </x:c>
      <x:c r="B45" s="1" t="str">
        <x:v>発話区切り</x:v>
      </x:c>
      <x:c r="C45" s="1" t="str">
        <x:v>生徒として、句読点のない常体の説明も区切って読みたい</x:v>
      </x:c>
      <x:c r="D45" s="1" t="str">
        <x:v>敬体・常体・疑問の終止形を確定し、似たフィラーや体言止めは継続する</x:v>
      </x:c>
      <x:c r="E45" s="1" t="str">
        <x:v>実装あり</x:v>
      </x:c>
      <x:c r="F45" s="1" t="str">
        <x:v>部分確認</x:v>
      </x:c>
      <x:c r="G45" s="1" t="str">
        <x:v>自動</x:v>
      </x:c>
      <x:c r="H45" s="1" t="str">
        <x:v>surface分類器</x:v>
      </x:c>
      <x:c r="I45" s="1" t="str">
        <x:v>「〜だ」「〜下さい」「分かったか」と「ただ」「まだ」「教科書」を比較</x:v>
      </x:c>
      <x:c r="J45" s="1" t="str">
        <x:v>#34</x:v>
      </x:c>
      <x:c r="K45" s="1" t="str">
        <x:v>server/turn/boundary.py</x:v>
      </x:c>
      <x:c r="L45" s="1" t="str">
        <x:v>tests/unit/test_turn_boundary.py;tests/unit/test_turn_assembler.py::TestTaigenIsNotSplit;tests/unit/test_turn_assembler.py::TestPlainFormConfirmsImmediately</x:v>
      </x:c>
      <x:c r="M45" s="1" t="str">
        <x:v>pytest: pass=77, fail=0, error=0, skip=0. docs/qa/runs/20260908-112049/story-evidence.json #TURN-03</x:v>
      </x:c>
      <x:c r="N45" s="1" t="str">
        <x:v>体言止めの意味判定は未対応で無音待ち 合格条件の全節とassertの対応を監査済み。docs/qa/README.md参照。
テスト証拠を現行sourceで再監査できないため部分確認。</x:v>
      </x:c>
      <x:c r="O45" s="1" t="str">
        <x:v>2026-09-08T11:23:44.768830+09:00</x:v>
      </x:c>
    </x:row>
    <x:row r="46" ht="100" customHeight="1">
      <x:c r="A46" s="4" t="str">
        <x:v>TURN-04</x:v>
      </x:c>
      <x:c r="B46" s="4" t="str">
        <x:v>設定</x:v>
      </x:c>
      <x:c r="C46" s="4" t="str">
        <x:v>運用者として、区切り方を設定で比較したい</x:v>
      </x:c>
      <x:c r="D46" s="4" t="str">
        <x:v>simpleは1Segment=1カード、morphは文法連結。不正戦略・不整合無音閾値を拒否する</x:v>
      </x:c>
      <x:c r="E46" s="4" t="str">
        <x:v>実装あり</x:v>
      </x:c>
      <x:c r="F46" s="4" t="str">
        <x:v>部分確認</x:v>
      </x:c>
      <x:c r="G46" s="4" t="str">
        <x:v>自動</x:v>
      </x:c>
      <x:c r="H46" s="4" t="str">
        <x:v>設定コピー</x:v>
      </x:c>
      <x:c r="I46" s="4" t="str">
        <x:v>両戦略と不正設定を検証</x:v>
      </x:c>
      <x:c r="J46" s="4" t="str">
        <x:v>F-12;#27</x:v>
      </x:c>
      <x:c r="K46" s="4" t="str">
        <x:v>server/config.py;server/turn;server/audio/vad.py</x:v>
      </x:c>
      <x:c r="L46" s="4" t="str">
        <x:v>tests/unit/test_turn_assembler.py::TestSimpleStrategy;tests/unit/test_turn_assembler.py::test_unknown_strategy_is_rejected;tests/unit/test_vad.py::test_force_silence_shorter_than_check_silence_is_rejected</x:v>
      </x:c>
      <x:c r="M46" s="4" t="str">
        <x:v>pytest: pass=4, fail=0, error=0, skip=0. docs/qa/runs/20260908-112049/story-evidence.json #TURN-04</x:v>
      </x:c>
      <x:c r="N46" s="4" t="str">
        <x:v> 合格条件の全節とassertの対応を監査済み。docs/qa/README.md参照。
テスト証拠を現行sourceで再監査できないため部分確認。</x:v>
      </x:c>
      <x:c r="O46" s="4" t="str">
        <x:v>2026-09-08T11:23:44.768830+09:00</x:v>
      </x:c>
    </x:row>
    <x:row r="47" ht="100" customHeight="1">
      <x:c r="A47" s="1" t="str">
        <x:v>MT-01</x:v>
      </x:c>
      <x:c r="B47" s="1" t="str">
        <x:v>翻訳</x:v>
      </x:c>
      <x:c r="C47" s="1" t="str">
        <x:v>生徒として、自分が選んだ言語だけ受け取りたい</x:v>
      </x:c>
      <x:c r="D47" s="1" t="str">
        <x:v>英語選択者へ英語、中国語選択者へ簡体字中国語を配信する</x:v>
      </x:c>
      <x:c r="E47" s="1" t="str">
        <x:v>実装あり</x:v>
      </x:c>
      <x:c r="F47" s="1" t="str">
        <x:v>部分確認</x:v>
      </x:c>
      <x:c r="G47" s="1" t="str">
        <x:v>自動</x:v>
      </x:c>
      <x:c r="H47" s="1" t="str">
        <x:v>英中の生徒接続</x:v>
      </x:c>
      <x:c r="I47" s="1" t="str">
        <x:v>同じ日本語発話を送って両者のcaptionを比較</x:v>
      </x:c>
      <x:c r="J47" s="1" t="str">
        <x:v>F-03</x:v>
      </x:c>
      <x:c r="K47" s="1" t="str">
        <x:v>server/pipeline.py;server/main.py</x:v>
      </x:c>
      <x:c r="L47" s="1" t="str">
        <x:v>tests/integration/test_ws_boundary.py::TestCaptionFlow::test_students_receive_only_their_language</x:v>
      </x:c>
      <x:c r="M47" s="1" t="str">
        <x:v>pytest: pass=1, fail=0, error=0, skip=0. docs/qa/runs/20260908-112049/story-evidence.json #MT-01</x:v>
      </x:c>
      <x:c r="N47" s="1" t="str">
        <x:v>ここはルーティング検証。訳文品質は実モデルで別判定
テスト証拠を現行sourceで再監査できないため部分確認。</x:v>
      </x:c>
      <x:c r="O47" s="1" t="str">
        <x:v>2026-09-08T11:23:44.768830+09:00</x:v>
      </x:c>
    </x:row>
    <x:row r="48" ht="100" customHeight="1">
      <x:c r="A48" s="4" t="str">
        <x:v>MT-02</x:v>
      </x:c>
      <x:c r="B48" s="4" t="str">
        <x:v>翻訳</x:v>
      </x:c>
      <x:c r="C48" s="4" t="str">
        <x:v>運用者として、生徒が増えても同じ翻訳を繰り返したくない</x:v>
      </x:c>
      <x:c r="D48" s="4" t="str">
        <x:v>ASRは音声単位で1回、MTはアクティブ言語ごと1回。選択者0の言語は処理しない</x:v>
      </x:c>
      <x:c r="E48" s="4" t="str">
        <x:v>実装あり</x:v>
      </x:c>
      <x:c r="F48" s="4" t="str">
        <x:v>部分確認</x:v>
      </x:c>
      <x:c r="G48" s="4" t="str">
        <x:v>自動</x:v>
      </x:c>
      <x:c r="H48" s="4" t="str">
        <x:v>同言語複数生徒と未選択言語</x:v>
      </x:c>
      <x:c r="I48" s="4" t="str">
        <x:v>人数と言語配分を変えてASR/MT呼び出し数を比較</x:v>
      </x:c>
      <x:c r="J48" s="4" t="str">
        <x:v>F-03;E-14</x:v>
      </x:c>
      <x:c r="K48" s="4" t="str">
        <x:v>server/pipeline.py;server/session.py</x:v>
      </x:c>
      <x:c r="L48" s="4" t="str">
        <x:v>tests/invariants/test_pipeline_invariants.py;tests/unit/test_call_counters.py;tests/integration/test_ws_boundary.py::TestCaptionFlow::test_no_translation_job_for_inactive_language</x:v>
      </x:c>
      <x:c r="M48" s="4" t="str">
        <x:v>pytest: pass=31, fail=0, error=0, skip=0. docs/qa/runs/20260908-112049/story-evidence.json #MT-02</x:v>
      </x:c>
      <x:c r="N48" s="4" t="str">
        <x:v>人数1/10/20/40、同一言語複数人、言語数差、選択者0言語を呼出し履歴と計数器で直接確認
テスト証拠を現行sourceで再監査できないため部分確認。</x:v>
      </x:c>
      <x:c r="O48" s="4" t="str">
        <x:v>2026-09-08T11:23:44.768830+09:00</x:v>
      </x:c>
    </x:row>
    <x:row r="49" ht="100" customHeight="1">
      <x:c r="A49" s="1" t="str">
        <x:v>MT-03</x:v>
      </x:c>
      <x:c r="B49" s="1" t="str">
        <x:v>翻訳</x:v>
      </x:c>
      <x:c r="C49" s="1" t="str">
        <x:v>生徒として、繰り返しの説明を速く読みたい</x:v>
      </x:c>
      <x:c r="D49" s="1" t="str">
        <x:v>同じ原文・言語・モデル版の訳をLRU再利用。上限512、0で無効化し異なるキーを混同しない</x:v>
      </x:c>
      <x:c r="E49" s="1" t="str">
        <x:v>実装あり</x:v>
      </x:c>
      <x:c r="F49" s="1" t="str">
        <x:v>部分確認</x:v>
      </x:c>
      <x:c r="G49" s="1" t="str">
        <x:v>自動</x:v>
      </x:c>
      <x:c r="H49" s="1" t="str">
        <x:v>キャッシュあり/なし設定</x:v>
      </x:c>
      <x:c r="I49" s="1" t="str">
        <x:v>同一文反復・言語差・版差・上限超過を試す</x:v>
      </x:c>
      <x:c r="J49" s="1" t="str">
        <x:v>#26</x:v>
      </x:c>
      <x:c r="K49" s="1" t="str">
        <x:v>server/mt/cache.py;server/pipeline.py</x:v>
      </x:c>
      <x:c r="L49" s="1" t="str">
        <x:v>tests/unit/test_mt_cache.py</x:v>
      </x:c>
      <x:c r="M49" s="1" t="str">
        <x:v>pytest: pass=14, fail=0, error=0, skip=0. docs/qa/runs/20260908-112049/story-evidence.json #MT-03</x:v>
      </x:c>
      <x:c r="N49" s="1" t="str">
        <x:v>
テスト証拠を現行sourceで再監査できないため部分確認。</x:v>
      </x:c>
      <x:c r="O49" s="1" t="str">
        <x:v>2026-09-08T11:23:44.768830+09:00</x:v>
      </x:c>
    </x:row>
    <x:row r="50" ht="100" customHeight="1">
      <x:c r="A50" s="4" t="str">
        <x:v>MT-04</x:v>
      </x:c>
      <x:c r="B50" s="4" t="str">
        <x:v>翻訳</x:v>
      </x:c>
      <x:c r="C50" s="4" t="str">
        <x:v>運用者として、異常入力でも翻訳生成を有界にしたい</x:v>
      </x:c>
      <x:c r="D50" s="4" t="str">
        <x:v>入力長に比例した出力上限を32〜設定cap内に収める。翻訳指示と言語名を正しく渡す</x:v>
      </x:c>
      <x:c r="E50" s="4" t="str">
        <x:v>実装あり</x:v>
      </x:c>
      <x:c r="F50" s="4" t="str">
        <x:v>部分確認</x:v>
      </x:c>
      <x:c r="G50" s="4" t="str">
        <x:v>自動</x:v>
      </x:c>
      <x:c r="H50" s="4" t="str">
        <x:v>Hy-MT2アダプタ</x:v>
      </x:c>
      <x:c r="I50" s="4" t="str">
        <x:v>短文・長文・トークン数取得失敗の設定を確認</x:v>
      </x:c>
      <x:c r="J50" s="4" t="str">
        <x:v>#26</x:v>
      </x:c>
      <x:c r="K50" s="4" t="str">
        <x:v>server/mt/hymt_engine.py</x:v>
      </x:c>
      <x:c r="L50" s="4" t="str">
        <x:v>tests/unit/test_hymt_params.py;tests/unit/test_mt_engines.py;qa_checks/test_pipeline_contracts.py::test_mt04_completion_receives_bounded_tokens_and_language</x:v>
      </x:c>
      <x:c r="M50" s="4" t="str">
        <x:v>pytest: pass=25, fail=0, error=0, skip=0. docs/qa/runs/20260908-112049/story-evidence.json #MT-04</x:v>
      </x:c>
      <x:c r="N50" s="4" t="str">
        <x:v>異常入力の実推論時間は別検証 合格条件の全節とassertの対応を監査済み。docs/qa/README.md参照。
テスト証拠を現行sourceで再監査できないため部分確認。</x:v>
      </x:c>
      <x:c r="O50" s="4" t="str">
        <x:v>2026-09-08T11:23:44.768830+09:00</x:v>
      </x:c>
    </x:row>
    <x:row r="51" ht="100" customHeight="1">
      <x:c r="A51" s="1" t="str">
        <x:v>STU-01</x:v>
      </x:c>
      <x:c r="B51" s="1" t="str">
        <x:v>字幕閲覧</x:v>
      </x:c>
      <x:c r="C51" s="1" t="str">
        <x:v>生徒として、訳文と原文を発話順のカードで読みたい</x:v>
      </x:c>
      <x:c r="D51" s="1" t="str">
        <x:v>訳文・日本語・受信時刻を表示し、seq逆順到着でも昇順に挿入。同じseqは一枚</x:v>
      </x:c>
      <x:c r="E51" s="1" t="str">
        <x:v>実装あり</x:v>
      </x:c>
      <x:c r="F51" s="1" t="str">
        <x:v>部分確認</x:v>
      </x:c>
      <x:c r="G51" s="1" t="str">
        <x:v>ブラウザ</x:v>
      </x:c>
      <x:c r="H51" s="1" t="str">
        <x:v>参加済み</x:v>
      </x:c>
      <x:c r="I51" s="1" t="str">
        <x:v>seq=3,1,2,2のcaptionを表示する</x:v>
      </x:c>
      <x:c r="J51" s="1" t="str">
        <x:v>F-05</x:v>
      </x:c>
      <x:c r="K51" s="1" t="str">
        <x:v>web/student.js:addCard</x:v>
      </x:c>
      <x:c r="L51" s="1" t="str">
        <x:v/>
      </x:c>
      <x:c r="M51" s="1" t="str">
        <x:v>docs/qa/runs/20260908-062424-browser/browser.json #STU-01; cards_order_dedup_plain_text=pass
docs/qa/runs/20260908-112500-browser/browser.json #STU-01; cards_order_dedup_plain_text=pass</x:v>
      </x:c>
      <x:c r="N51" s="1" t="str">
        <x:v> 合格条件の画面挙動を検証済み。入力・機器の代替範囲はdocs/qa/README.md参照。
テスト証拠を現行sourceで再監査できないため部分確認。</x:v>
      </x:c>
      <x:c r="O51" s="1" t="str">
        <x:v>2026-09-08T11:25:35.655682+09:00</x:v>
      </x:c>
    </x:row>
    <x:row r="52" ht="100" customHeight="1">
      <x:c r="A52" s="4" t="str">
        <x:v>STU-02</x:v>
      </x:c>
      <x:c r="B52" s="4" t="str">
        <x:v>字幕閲覧</x:v>
      </x:c>
      <x:c r="C52" s="4" t="str">
        <x:v>生徒として、新しい字幕へ自動で追従したい</x:v>
      </x:c>
      <x:c r="D52" s="4" t="str">
        <x:v>最下部閲覧中は新着に追従し、上スクロールで止まり「最新へ」で復帰する</x:v>
      </x:c>
      <x:c r="E52" s="4" t="str">
        <x:v>実装あり</x:v>
      </x:c>
      <x:c r="F52" s="4" t="str">
        <x:v>部分確認</x:v>
      </x:c>
      <x:c r="G52" s="4" t="str">
        <x:v>ブラウザ</x:v>
      </x:c>
      <x:c r="H52" s="4" t="str">
        <x:v>十分な字幕カード</x:v>
      </x:c>
      <x:c r="I52" s="4" t="str">
        <x:v>スクロール→新着→最新へを操作する</x:v>
      </x:c>
      <x:c r="J52" s="4" t="str">
        <x:v>F-05</x:v>
      </x:c>
      <x:c r="K52" s="4" t="str">
        <x:v>web/student.js:setFollowing,addCard;web/student.css</x:v>
      </x:c>
      <x:c r="L52" s="4" t="str">
        <x:v/>
      </x:c>
      <x:c r="M52" s="4" t="str">
        <x:v>docs/qa/runs/20260908-062424-browser/browser.json #STU-02; follow_pause_and_latest=pass
docs/qa/runs/20260908-112500-browser/browser.json #STU-02; follow_pause_and_latest=pass</x:v>
      </x:c>
      <x:c r="N52" s="4" t="str">
        <x:v>履歴挿入時のSafari位置補正も確認
テスト証拠を現行sourceで再監査できないため部分確認。</x:v>
      </x:c>
      <x:c r="O52" s="4" t="str">
        <x:v>2026-09-08T11:25:35.655682+09:00</x:v>
      </x:c>
    </x:row>
    <x:row r="53" ht="100" customHeight="1">
      <x:c r="A53" s="1" t="str">
        <x:v>STU-03</x:v>
      </x:c>
      <x:c r="B53" s="1" t="str">
        <x:v>字幕閲覧</x:v>
      </x:c>
      <x:c r="C53" s="1" t="str">
        <x:v>生徒として、日本語原文の表示を切り替えたい</x:v>
      </x:c>
      <x:c r="D53" s="1" t="str">
        <x:v>既定ON。OFFで原文だけ隠し、リロード後も選択を保持する</x:v>
      </x:c>
      <x:c r="E53" s="1" t="str">
        <x:v>実装あり</x:v>
      </x:c>
      <x:c r="F53" s="1" t="str">
        <x:v>部分確認</x:v>
      </x:c>
      <x:c r="G53" s="1" t="str">
        <x:v>ブラウザ</x:v>
      </x:c>
      <x:c r="H53" s="1" t="str">
        <x:v>字幕表示済み</x:v>
      </x:c>
      <x:c r="I53" s="1" t="str">
        <x:v>原文トグル→新着→再読み込み</x:v>
      </x:c>
      <x:c r="J53" s="1" t="str">
        <x:v>F-06</x:v>
      </x:c>
      <x:c r="K53" s="1" t="str">
        <x:v>web/student.js:applyShowJa;web/student.css</x:v>
      </x:c>
      <x:c r="L53" s="1" t="str">
        <x:v/>
      </x:c>
      <x:c r="M53" s="1" t="str">
        <x:v>docs/qa/runs/20260908-062424-browser/browser.json #STU-03; original_toggle_and_persistence=pass
docs/qa/runs/20260908-112500-browser/browser.json #STU-03; original_toggle_and_persistence=pass</x:v>
      </x:c>
      <x:c r="N53" s="1" t="str">
        <x:v> 合格条件の画面挙動を検証済み。入力・機器の代替範囲はdocs/qa/README.md参照。
テスト証拠を現行sourceで再監査できないため部分確認。</x:v>
      </x:c>
      <x:c r="O53" s="1" t="str">
        <x:v>2026-09-08T11:25:35.655682+09:00</x:v>
      </x:c>
    </x:row>
    <x:row r="54" ht="100" customHeight="1">
      <x:c r="A54" s="4" t="str">
        <x:v>STU-04</x:v>
      </x:c>
      <x:c r="B54" s="4" t="str">
        <x:v>字幕閲覧</x:v>
      </x:c>
      <x:c r="C54" s="4" t="str">
        <x:v>生徒として、読みやすい文字サイズを選びたい</x:v>
      </x:c>
      <x:c r="D54" s="4" t="str">
        <x:v>小中大で訳文と原文のサイズが変わり、選択状態と設定が保持される</x:v>
      </x:c>
      <x:c r="E54" s="4" t="str">
        <x:v>実装あり</x:v>
      </x:c>
      <x:c r="F54" s="4" t="str">
        <x:v>部分確認</x:v>
      </x:c>
      <x:c r="G54" s="4" t="str">
        <x:v>ブラウザ</x:v>
      </x:c>
      <x:c r="H54" s="4" t="str">
        <x:v>字幕表示済み</x:v>
      </x:c>
      <x:c r="I54" s="4" t="str">
        <x:v>3サイズを切替し再読み込み</x:v>
      </x:c>
      <x:c r="J54" s="4" t="str">
        <x:v>F-06</x:v>
      </x:c>
      <x:c r="K54" s="4" t="str">
        <x:v>web/student.js:applyFontSize;web/student.css</x:v>
      </x:c>
      <x:c r="L54" s="4" t="str">
        <x:v/>
      </x:c>
      <x:c r="M54" s="4" t="str">
        <x:v>docs/qa/runs/20260908-062424-browser/browser.json #STU-04; font_sizes_and_persistence=pass
docs/qa/runs/20260908-112500-browser/browser.json #STU-04; font_sizes_and_persistence=pass</x:v>
      </x:c>
      <x:c r="N54" s="4" t="str">
        <x:v> 合格条件の画面挙動を検証済み。入力・機器の代替範囲はdocs/qa/README.md参照。
テスト証拠を現行sourceで再監査できないため部分確認。</x:v>
      </x:c>
      <x:c r="O54" s="4" t="str">
        <x:v>2026-09-08T11:25:35.655682+09:00</x:v>
      </x:c>
    </x:row>
    <x:row r="55" ht="100" customHeight="1">
      <x:c r="A55" s="1" t="str">
        <x:v>STU-05</x:v>
      </x:c>
      <x:c r="B55" s="1" t="str">
        <x:v>字幕閲覧</x:v>
      </x:c>
      <x:c r="C55" s="1" t="str">
        <x:v>生徒として、保存が禁止されたブラウザでも使いたい</x:v>
      </x:c>
      <x:c r="D55" s="1" t="str">
        <x:v>localStorageが例外でも初期化・字幕・表示設定の操作が継続する</x:v>
      </x:c>
      <x:c r="E55" s="1" t="str">
        <x:v>実装あり</x:v>
      </x:c>
      <x:c r="F55" s="1" t="str">
        <x:v>部分確認</x:v>
      </x:c>
      <x:c r="G55" s="1" t="str">
        <x:v>ブラウザ</x:v>
      </x:c>
      <x:c r="H55" s="1" t="str">
        <x:v>保存禁止のコンテキスト</x:v>
      </x:c>
      <x:c r="I55" s="1" t="str">
        <x:v>getItem/setItemを失敗させ参加と設定操作</x:v>
      </x:c>
      <x:c r="J55" s="1" t="str">
        <x:v>F-06</x:v>
      </x:c>
      <x:c r="K55" s="1" t="str">
        <x:v>web/student.js:storageGet,storageSet;web/teacher.js</x:v>
      </x:c>
      <x:c r="L55" s="1" t="str">
        <x:v/>
      </x:c>
      <x:c r="M55" s="1" t="str">
        <x:v>docs/qa/runs/20260908-062424-browser/browser.json #STU-05; storage_denied_student=pass, storage_denied_teacher=pass
docs/qa/runs/20260908-112500-browser/browser.json #STU-05; storage_denied_student=pass, storage_denied_teacher=pass</x:v>
      </x:c>
      <x:c r="N55" s="1" t="str">
        <x:v>先生マイク設定の保存禁止も確認 合格条件の画面挙動を検証済み。入力・機器の代替範囲はdocs/qa/README.md参照。
テスト証拠を現行sourceで再監査できないため部分確認。</x:v>
      </x:c>
      <x:c r="O55" s="1" t="str">
        <x:v>2026-09-08T11:25:35.655682+09:00</x:v>
      </x:c>
    </x:row>
    <x:row r="56" ht="131" customHeight="1">
      <x:c r="A56" s="4" t="str">
        <x:v>STU-06</x:v>
      </x:c>
      <x:c r="B56" s="4" t="str">
        <x:v>字幕閲覧</x:v>
      </x:c>
      <x:c r="C56" s="4" t="str">
        <x:v>生徒として、途中で字幕言語を変えたい</x:v>
      </x:c>
      <x:c r="D56" s="4" t="str">
        <x:v>変更後の新着は新言語。既存カードは保持。拒否時に選択とUI言語を元へ戻す</x:v>
      </x:c>
      <x:c r="E56" s="4" t="str">
        <x:v>実装あり</x:v>
      </x:c>
      <x:c r="F56" s="4" t="str">
        <x:v>部分確認</x:v>
      </x:c>
      <x:c r="G56" s="4" t="str">
        <x:v>ブラウザ</x:v>
      </x:c>
      <x:c r="H56" s="4" t="str">
        <x:v>英語で参加済み</x:v>
      </x:c>
      <x:c r="I56" s="4" t="str">
        <x:v>中国語へ変更し発話。非対応set_langも試す</x:v>
      </x:c>
      <x:c r="J56" s="4" t="str">
        <x:v>F-03;F-07;E-14</x:v>
      </x:c>
      <x:c r="K56" s="4" t="str">
        <x:v>web/student.js;server/main.py</x:v>
      </x:c>
      <x:c r="L56" s="4" t="str">
        <x:v>tests/integration/test_ws_boundary.py::TestCaptionFlow::test_set_lang_switches_captions</x:v>
      </x:c>
      <x:c r="M56" s="4" t="str">
        <x:v>pytest: pass=1, fail=0, error=0, skip=0. docs/qa/runs/20260908-112049/story-evidence.json #STU-06
docs/qa/runs/20260908-112500-browser/browser.json #STU-06; switch_language_and_rejected_rollback=pass
docs/qa/runs/20260908-112624-native-browser/browser.json #STU-06; native_language_switch_and_rejection=pass, native_language_switch_during_replay=pass</x:v>
      </x:c>
      <x:c r="N56" s="4" t="str">
        <x:v>連続言語切替と復元中切替も確認
テスト証拠を現行sourceで再監査できないため部分確認。</x:v>
      </x:c>
      <x:c r="O56" s="4" t="str">
        <x:v>2026-09-08T11:28:16.537329+09:00</x:v>
      </x:c>
    </x:row>
    <x:row r="57" ht="100" customHeight="1">
      <x:c r="A57" s="1" t="str">
        <x:v>STU-07</x:v>
      </x:c>
      <x:c r="B57" s="1" t="str">
        <x:v>字幕閲覧</x:v>
      </x:c>
      <x:c r="C57" s="1" t="str">
        <x:v>生徒として、操作説明も選択言語で読みたい</x:v>
      </x:c>
      <x:c r="D57" s="1" t="str">
        <x:v>参加案内・操作・状態・エラー・遅延表示がen/zhに追従し、未定義UIはjaへフォールバック</x:v>
      </x:c>
      <x:c r="E57" s="1" t="str">
        <x:v>実装あり</x:v>
      </x:c>
      <x:c r="F57" s="1" t="str">
        <x:v>不合格</x:v>
      </x:c>
      <x:c r="G57" s="1" t="str">
        <x:v>ブラウザ</x:v>
      </x:c>
      <x:c r="H57" s="1" t="str">
        <x:v>言語選択前後</x:v>
      </x:c>
      <x:c r="I57" s="1" t="str">
        <x:v>英中の全表示文言とdocument.langを確認</x:v>
      </x:c>
      <x:c r="J57" s="1" t="str">
        <x:v>F-07</x:v>
      </x:c>
      <x:c r="K57" s="1" t="str">
        <x:v>web/i18n.js;web/student.js:applyI18n;web/index.html</x:v>
      </x:c>
      <x:c r="L57" s="1" t="str">
        <x:v/>
      </x:c>
      <x:c r="M57" s="1" t="str">
        <x:v>docs/qa/runs/20260908-112500-browser/browser.json #STU-07; recording_indicator_localized=fail</x:v>
      </x:c>
      <x:c r="N57" s="1" t="str">
        <x:v>再現: 英語UIでも記録表示が日本語。固定文言の翻訳漏れ。docs/qa/findings.md参照。 修正は未実施。</x:v>
      </x:c>
      <x:c r="O57" s="1" t="str">
        <x:v>2026-09-08T11:25:35.655682+09:00</x:v>
      </x:c>
    </x:row>
    <x:row r="58" ht="114" customHeight="1">
      <x:c r="A58" s="4" t="str">
        <x:v>STU-08</x:v>
      </x:c>
      <x:c r="B58" s="4" t="str">
        <x:v>字幕閲覧</x:v>
      </x:c>
      <x:c r="C58" s="4" t="str">
        <x:v>生徒として、授業が始まったか止まったか知りたい</x:v>
      </x:c>
      <x:c r="D58" s="4" t="str">
        <x:v>idle/live/paused/ended/disconnectedに対応するバナーを表示する</x:v>
      </x:c>
      <x:c r="E58" s="4" t="str">
        <x:v>実装あり</x:v>
      </x:c>
      <x:c r="F58" s="4" t="str">
        <x:v>部分確認</x:v>
      </x:c>
      <x:c r="G58" s="4" t="str">
        <x:v>ブラウザ</x:v>
      </x:c>
      <x:c r="H58" s="4" t="str">
        <x:v>参加済み</x:v>
      </x:c>
      <x:c r="I58" s="4" t="str">
        <x:v>状態イベントと切断を順に受ける</x:v>
      </x:c>
      <x:c r="J58" s="4" t="str">
        <x:v>F-09;E-06;E-07</x:v>
      </x:c>
      <x:c r="K58" s="4" t="str">
        <x:v>web/student.js:setBanner,handleMessage</x:v>
      </x:c>
      <x:c r="L58" s="4" t="str">
        <x:v>tests/integration/test_ws_boundary.py::TestSessionControl</x:v>
      </x:c>
      <x:c r="M58" s="4" t="str">
        <x:v>docs/qa/runs/20260908-062424-browser/browser.json #STU-08; session_banners=pass
pytest: pass=2, fail=0, error=0, skip=0. docs/qa/runs/20260908-112049/story-evidence.json #STU-08
docs/qa/runs/20260908-112500-browser/browser.json #STU-08; session_banners=pass</x:v>
      </x:c>
      <x:c r="N58" s="4" t="str">
        <x:v> 合格条件の画面挙動を検証済み。入力・機器の代替範囲はdocs/qa/README.md参照。
テスト証拠を現行sourceで再監査できないため部分確認。</x:v>
      </x:c>
      <x:c r="O58" s="4" t="str">
        <x:v>2026-09-08T11:25:35.655682+09:00</x:v>
      </x:c>
    </x:row>
    <x:row r="59" ht="100" customHeight="1">
      <x:c r="A59" s="1" t="str">
        <x:v>STU-09</x:v>
      </x:c>
      <x:c r="B59" s="1" t="str">
        <x:v>字幕閲覧</x:v>
      </x:c>
      <x:c r="C59" s="1" t="str">
        <x:v>生徒として、字幕が遅れていることを知りたい</x:v>
      </x:c>
      <x:c r="D59" s="1" t="str">
        <x:v>delay_msが5000以上だけ遅延タグを付け、再送delay=0はタグなし</x:v>
      </x:c>
      <x:c r="E59" s="1" t="str">
        <x:v>実装あり</x:v>
      </x:c>
      <x:c r="F59" s="1" t="str">
        <x:v>部分確認</x:v>
      </x:c>
      <x:c r="G59" s="1" t="str">
        <x:v>ブラウザ</x:v>
      </x:c>
      <x:c r="H59" s="1" t="str">
        <x:v>参加済み</x:v>
      </x:c>
      <x:c r="I59" s="1" t="str">
        <x:v>4999/5000/5001/再送0msのcaptionを表示</x:v>
      </x:c>
      <x:c r="J59" s="1" t="str">
        <x:v>E-05</x:v>
      </x:c>
      <x:c r="K59" s="1" t="str">
        <x:v>web/student.js:addCard;server/pipeline.py</x:v>
      </x:c>
      <x:c r="L59" s="1" t="str">
        <x:v/>
      </x:c>
      <x:c r="M59" s="1" t="str">
        <x:v>docs/qa/runs/20260908-062424-browser/browser.json #STU-09; delay_boundary_and_replay=pass
docs/qa/runs/20260908-112500-browser/browser.json #STU-09; delay_boundary_and_replay=pass</x:v>
      </x:c>
      <x:c r="N59" s="1" t="str">
        <x:v> 合格条件の画面挙動を検証済み。入力・機器の代替範囲はdocs/qa/README.md参照。
テスト証拠を現行sourceで再監査できないため部分確認。</x:v>
      </x:c>
      <x:c r="O59" s="1" t="str">
        <x:v>2026-09-08T11:25:35.655682+09:00</x:v>
      </x:c>
    </x:row>
    <x:row r="60" ht="165" customHeight="1">
      <x:c r="A60" s="4" t="str">
        <x:v>STU-10</x:v>
      </x:c>
      <x:c r="B60" s="4" t="str">
        <x:v>字幕閲覧</x:v>
      </x:c>
      <x:c r="C60" s="4" t="str">
        <x:v>生徒として、先生が話していることを知りたい</x:v>
      </x:c>
      <x:c r="D60" s="4" t="str">
        <x:v>既定ONで発話中を表示し、停止/終了/切断/長時間無音で消す。未翻訳partialは見せない</x:v>
      </x:c>
      <x:c r="E60" s="4" t="str">
        <x:v>実装あり</x:v>
      </x:c>
      <x:c r="F60" s="4" t="str">
        <x:v>不合格</x:v>
      </x:c>
      <x:c r="G60" s="4" t="str">
        <x:v>ブラウザ</x:v>
      </x:c>
      <x:c r="H60" s="4" t="str">
        <x:v>partial OFF・indicator ON</x:v>
      </x:c>
      <x:c r="I60" s="4" t="str">
        <x:v>発話開始→無音・停止・切断、発話中の途中参加を確認</x:v>
      </x:c>
      <x:c r="J60" s="4" t="str">
        <x:v>#29</x:v>
      </x:c>
      <x:c r="K60" s="4" t="str">
        <x:v>server/pipeline.py;web/student.js;web/i18n.js</x:v>
      </x:c>
      <x:c r="L60" s="4" t="str">
        <x:v>tests/integration/test_partial.py::TestSpeakingIndicator;tests/integration/test_partial.py::TestIndicatorDoesNotStickOn</x:v>
      </x:c>
      <x:c r="M60" s="4" t="str">
        <x:v>docs/qa/runs/20260908-062424-browser/browser.json #STU-10; speaking_indicator_clears=pass
pytest: pass=4, fail=0, error=0, skip=0. docs/qa/runs/20260908-112049/story-evidence.json #STU-10
docs/qa/runs/20260908-112500-browser/browser.json #STU-10; speaking_indicator_clears=pass
docs/qa/runs/20260908-112624-native-browser/browser.json #STU-10; native_speaking_indicator_lifecycle=pass, native_speaking_after_capture_gap=fail</x:v>
      </x:c>
      <x:c r="N60" s="4" t="str">
        <x:v>途中参加・停止・終了・切断は成功。警告閾値（既定30秒、試験設定3秒）を超えるフレーム途絶後、同じ接続へ音声が戻っても再表示されない反例あり。docs/qa/findings.md参照。修正は未実施。</x:v>
      </x:c>
      <x:c r="O60" s="4" t="str">
        <x:v>2026-09-08T11:28:16.537329+09:00</x:v>
      </x:c>
    </x:row>
    <x:row r="61" ht="114" customHeight="1">
      <x:c r="A61" s="1" t="str">
        <x:v>STU-11</x:v>
      </x:c>
      <x:c r="B61" s="1" t="str">
        <x:v>字幕閲覧</x:v>
      </x:c>
      <x:c r="C61" s="1" t="str">
        <x:v>生徒として、ChromebookやiPhoneで追加アプリなしに読みたい</x:v>
      </x:c>
      <x:c r="D61" s="1" t="str">
        <x:v>小画面でも操作部と字幕が読め、長文・大文字サイズで欠落しない</x:v>
      </x:c>
      <x:c r="E61" s="1" t="str">
        <x:v>実装あり</x:v>
      </x:c>
      <x:c r="F61" s="1" t="str">
        <x:v>不合格</x:v>
      </x:c>
      <x:c r="G61" s="1" t="str">
        <x:v>実機</x:v>
      </x:c>
      <x:c r="H61" s="1" t="str">
        <x:v>ChromeOS Chrome/iOS Safari</x:v>
      </x:c>
      <x:c r="I61" s="1" t="str">
        <x:v>縦横画面・拡大・長文・スクロール・ロック復帰を確認</x:v>
      </x:c>
      <x:c r="J61" s="1" t="str">
        <x:v>N-06;E-12</x:v>
      </x:c>
      <x:c r="K61" s="1" t="str">
        <x:v>web/index.html;web/student.css;web/student.js</x:v>
      </x:c>
      <x:c r="L61" s="1" t="str">
        <x:v/>
      </x:c>
      <x:c r="M61" s="1" t="str">
        <x:v>docs/qa/runs/20260908-022452-browser/browser.json #STU-11; narrow_screen_large_captions=pass
docs/qa/runs/20260908-024016-browser/browser.json #STU-11; narrow_screen_large_captions=pass
docs/qa/runs/20260908-112500-browser/browser.json #STU-11; narrow_screen_large_captions=fail</x:v>
      </x:c>
      <x:c r="N61" s="1" t="str">
        <x:v>実Edge mobile/touch模擬の文字L（25.6px）・自然文長文6カードで、375×667/667×375は収まるが、200% reflow相当188×334では全6件に横overflow（card client/scroll=158/184px、本文=130/170px）を再現。小画面・大文字・長文の可読条件に対する反例。実iOS Safari/ChromeOS Chrome、実browser zoom、30秒OSロックは未検証。折返し修正後、同シナリオと両実機を再確認</x:v>
      </x:c>
      <x:c r="O61" s="1" t="str">
        <x:v>2026-09-08T11:25:35.655682+09:00</x:v>
      </x:c>
    </x:row>
    <x:row r="62" ht="114" customHeight="1">
      <x:c r="A62" s="4" t="str">
        <x:v>MON-01</x:v>
      </x:c>
      <x:c r="B62" s="4" t="str">
        <x:v>先生モニター</x:v>
      </x:c>
      <x:c r="C62" s="4" t="str">
        <x:v>先生として、認識された日本語を確認したい</x:v>
      </x:c>
      <x:c r="D62" s="4" t="str">
        <x:v>asr_finalを採番付きで表示し最新へ追従、直近50行まで保持する</x:v>
      </x:c>
      <x:c r="E62" s="4" t="str">
        <x:v>実装あり</x:v>
      </x:c>
      <x:c r="F62" s="4" t="str">
        <x:v>部分確認</x:v>
      </x:c>
      <x:c r="G62" s="4" t="str">
        <x:v>ブラウザ</x:v>
      </x:c>
      <x:c r="H62" s="4" t="str">
        <x:v>先生参加済み</x:v>
      </x:c>
      <x:c r="I62" s="4" t="str">
        <x:v>51件以上の確定結果を送る</x:v>
      </x:c>
      <x:c r="J62" s="4" t="str">
        <x:v>F-08</x:v>
      </x:c>
      <x:c r="K62" s="4" t="str">
        <x:v>web/teacher.js:handleMessage</x:v>
      </x:c>
      <x:c r="L62" s="4" t="str">
        <x:v>tests/integration/test_ws_boundary.py::TestCaptionFlow::test_teacher_speech_reaches_student_in_selected_lang</x:v>
      </x:c>
      <x:c r="M62" s="4" t="str">
        <x:v>docs/qa/runs/20260908-112500-browser/browser.json #MON-01; teacher_transcript_last_50=pass
docs/qa/runs/20260908-112624-native-browser/browser.json #MON-01; native_transcript_last_50_and_follow=pass
pytest: pass=1, fail=0, error=0, skip=0. docs/qa/runs/20260908-112900/story-evidence.json #MON-01</x:v>
      </x:c>
      <x:c r="N62" s="4" t="str">
        <x:v>
テスト証拠を現行sourceで再監査できないため部分確認。</x:v>
      </x:c>
      <x:c r="O62" s="4" t="str">
        <x:v>2026-09-08T11:29:07.997406+09:00</x:v>
      </x:c>
    </x:row>
    <x:row r="63" ht="131" customHeight="1">
      <x:c r="A63" s="1" t="str">
        <x:v>MON-02</x:v>
      </x:c>
      <x:c r="B63" s="1" t="str">
        <x:v>先生モニター</x:v>
      </x:c>
      <x:c r="C63" s="1" t="str">
        <x:v>先生として、字幕確定前の認識途中を確認したい</x:v>
      </x:c>
      <x:c r="D63" s="1" t="str">
        <x:v>partial設定ON時のみ先生へ暫定行を上書きし、同じturnのfinal/停止で消す</x:v>
      </x:c>
      <x:c r="E63" s="1" t="str">
        <x:v>実装あり</x:v>
      </x:c>
      <x:c r="F63" s="1" t="str">
        <x:v>部分確認</x:v>
      </x:c>
      <x:c r="G63" s="1" t="str">
        <x:v>ブラウザ</x:v>
      </x:c>
      <x:c r="H63" s="1" t="str">
        <x:v>partial ON</x:v>
      </x:c>
      <x:c r="I63" s="1" t="str">
        <x:v>息継ぎを含む発話を入力し暫定→確定を確認</x:v>
      </x:c>
      <x:c r="J63" s="1" t="str">
        <x:v>#29</x:v>
      </x:c>
      <x:c r="K63" s="1" t="str">
        <x:v>server/pipeline.py;web/teacher.js:showPartial,clearPartial</x:v>
      </x:c>
      <x:c r="L63" s="1" t="str">
        <x:v>tests/integration/test_partial.py::TestPartialReachesOnlyTheTeacher</x:v>
      </x:c>
      <x:c r="M63" s="1" t="str">
        <x:v>pytest: pass=3, fail=0, error=0, skip=0. docs/qa/runs/20260908-112049/story-evidence.json #MON-02
docs/qa/runs/20260908-112500-browser/browser.json #MON-02; partial_replacement_and_clear=pass
docs/qa/runs/20260908-112624-native-browser/browser.json #MON-02; native_partial_on_replaces_final_pause=pass, native_partial_off_is_default=pass</x:v>
      </x:c>
      <x:c r="N63" s="1" t="str">
        <x:v>既定OFFも確認
テスト証拠を現行sourceで再監査できないため部分確認。</x:v>
      </x:c>
      <x:c r="O63" s="1" t="str">
        <x:v>2026-09-08T11:28:16.537329+09:00</x:v>
      </x:c>
    </x:row>
    <x:row r="64" ht="100" customHeight="1">
      <x:c r="A64" s="4" t="str">
        <x:v>MON-03</x:v>
      </x:c>
      <x:c r="B64" s="4" t="str">
        <x:v>先生モニター</x:v>
      </x:c>
      <x:c r="C64" s="4" t="str">
        <x:v>生徒として、暫定字幕で確定字幕の品質を乱されたくない</x:v>
      </x:c>
      <x:c r="D64" s="4" t="str">
        <x:v>partialは採番・履歴・記録・翻訳に入らず、混雑時は省略。古いturnの結果を捨てる</x:v>
      </x:c>
      <x:c r="E64" s="4" t="str">
        <x:v>実装あり</x:v>
      </x:c>
      <x:c r="F64" s="4" t="str">
        <x:v>部分確認</x:v>
      </x:c>
      <x:c r="G64" s="4" t="str">
        <x:v>自動</x:v>
      </x:c>
      <x:c r="H64" s="4" t="str">
        <x:v>partial ONと負荷あり</x:v>
      </x:c>
      <x:c r="I64" s="4" t="str">
        <x:v>partial ON/OFFの確定経路比較、混雑・staleを模擬</x:v>
      </x:c>
      <x:c r="J64" s="4" t="str">
        <x:v>#29</x:v>
      </x:c>
      <x:c r="K64" s="4" t="str">
        <x:v>server/pipeline.py;server/turn/assembler.py</x:v>
      </x:c>
      <x:c r="L64" s="4" t="str">
        <x:v>tests/integration/test_partial.py::TestPartialDoesNotTouchTheConfirmedPath;tests/integration/test_partial.py::TestPartialNeverQueuesBehindAFinal;tests/unit/test_call_counters.py;qa_checks/test_partial_isolation.py</x:v>
      </x:c>
      <x:c r="M64" s="4" t="str">
        <x:v>pytest: pass=18, fail=0, error=0, skip=0. docs/qa/runs/20260908-112049/story-evidence.json #MON-03</x:v>
      </x:c>
      <x:c r="N64" s="4" t="str">
        <x:v>実記録ファイルとの分離、確定待ち/実行中の抑制、古いturnの破棄と次回partial復帰を制御試験で確認
テスト証拠を現行sourceで再監査できないため部分確認。</x:v>
      </x:c>
      <x:c r="O64" s="4" t="str">
        <x:v>2026-09-08T11:23:44.768830+09:00</x:v>
      </x:c>
    </x:row>
    <x:row r="65" ht="114" customHeight="1">
      <x:c r="A65" s="1" t="str">
        <x:v>MON-04</x:v>
      </x:c>
      <x:c r="B65" s="1" t="str">
        <x:v>先生モニター</x:v>
      </x:c>
      <x:c r="C65" s="1" t="str">
        <x:v>先生として、参加人数と言語内訳を把握したい</x:v>
      </x:c>
      <x:c r="D65" s="1" t="str">
        <x:v>2秒ごとの統計に参加/退出/言語変更が反映され、先生画面に表示する</x:v>
      </x:c>
      <x:c r="E65" s="1" t="str">
        <x:v>実装あり</x:v>
      </x:c>
      <x:c r="F65" s="1" t="str">
        <x:v>部分確認</x:v>
      </x:c>
      <x:c r="G65" s="1" t="str">
        <x:v>ブラウザ</x:v>
      </x:c>
      <x:c r="H65" s="1" t="str">
        <x:v>複数言語生徒</x:v>
      </x:c>
      <x:c r="I65" s="1" t="str">
        <x:v>参加→言語変更→退出し表示値を照合</x:v>
      </x:c>
      <x:c r="J65" s="1" t="str">
        <x:v>F-08</x:v>
      </x:c>
      <x:c r="K65" s="1" t="str">
        <x:v>server/pipeline.py:stats_snapshot;web/teacher.js:applyStats</x:v>
      </x:c>
      <x:c r="L65" s="1" t="str">
        <x:v>tests/integration/test_monitoring.py::TestStatsBroadcast</x:v>
      </x:c>
      <x:c r="M65" s="1" t="str">
        <x:v>pytest: pass=3, fail=0, error=0, skip=0. docs/qa/runs/20260908-112049/story-evidence.json #MON-04
docs/qa/runs/20260908-112500-browser/browser.json #MON-04; student_count_and_language_display=pass
docs/qa/runs/20260908-112624-native-browser/browser.json #MON-04; native_join_change_leave_stats=pass</x:v>
      </x:c>
      <x:c r="N65" s="1" t="str">
        <x:v> 合格条件の画面挙動を検証済み。入力・機器の代替範囲はdocs/qa/README.md参照。
テスト証拠を現行sourceで再監査できないため部分確認。</x:v>
      </x:c>
      <x:c r="O65" s="1" t="str">
        <x:v>2026-09-08T11:28:16.537329+09:00</x:v>
      </x:c>
    </x:row>
    <x:row r="66" ht="114" customHeight="1">
      <x:c r="A66" s="4" t="str">
        <x:v>MON-05</x:v>
      </x:c>
      <x:c r="B66" s="4" t="str">
        <x:v>先生モニター</x:v>
      </x:c>
      <x:c r="C66" s="4" t="str">
        <x:v>先生として、遅延の原因を見分けたい</x:v>
      </x:c>
      <x:c r="D66" s="4" t="str">
        <x:v>遅延中央値、ASR待ち秒数と処理中秒数、ASR/MT推論時間、MT待ち件数を分けて表示</x:v>
      </x:c>
      <x:c r="E66" s="4" t="str">
        <x:v>実装あり</x:v>
      </x:c>
      <x:c r="F66" s="4" t="str">
        <x:v>部分確認</x:v>
      </x:c>
      <x:c r="G66" s="4" t="str">
        <x:v>ブラウザ</x:v>
      </x:c>
      <x:c r="H66" s="4" t="str">
        <x:v>ASR/MTに待ちを入れる</x:v>
      </x:c>
      <x:c r="I66" s="4" t="str">
        <x:v>待機・処理・排出後の統計と表示を確認</x:v>
      </x:c>
      <x:c r="J66" s="4" t="str">
        <x:v>F-08;#30</x:v>
      </x:c>
      <x:c r="K66" s="4" t="str">
        <x:v>server/pipeline.py;web/teacher.js:applyStats</x:v>
      </x:c>
      <x:c r="L66" s="4" t="str">
        <x:v>tests/unit/test_stats_breakdown.py;tests/unit/test_audio_queue_seconds.py</x:v>
      </x:c>
      <x:c r="M66" s="4" t="str">
        <x:v>pytest: pass=14, fail=0, error=0, skip=0. docs/qa/runs/20260908-112049/story-evidence.json #MON-05
docs/qa/runs/20260908-112500-browser/browser.json #MON-05; latency_breakdown_display=pass
docs/qa/runs/20260908-112624-native-browser/browser.json #MON-05; native_latency_breakdown_wait_active_drain=pass</x:v>
      </x:c>
      <x:c r="N66" s="4" t="str">
        <x:v>
テスト証拠を現行sourceで再監査できないため部分確認。</x:v>
      </x:c>
      <x:c r="O66" s="4" t="str">
        <x:v>2026-09-08T11:28:16.537329+09:00</x:v>
      </x:c>
    </x:row>
    <x:row r="67" ht="114" customHeight="1">
      <x:c r="A67" s="1" t="str">
        <x:v>MON-06</x:v>
      </x:c>
      <x:c r="B67" s="1" t="str">
        <x:v>先生モニター</x:v>
      </x:c>
      <x:c r="C67" s="1" t="str">
        <x:v>先生として、翻訳キャッシュの効果を知りたい</x:v>
      </x:c>
      <x:c r="D67" s="1" t="str">
        <x:v>ヒット率と節約件数を表示し、キャッシュの0msを実推論中央値へ混ぜない</x:v>
      </x:c>
      <x:c r="E67" s="1" t="str">
        <x:v>実装あり</x:v>
      </x:c>
      <x:c r="F67" s="1" t="str">
        <x:v>部分確認</x:v>
      </x:c>
      <x:c r="G67" s="1" t="str">
        <x:v>ブラウザ</x:v>
      </x:c>
      <x:c r="H67" s="1" t="str">
        <x:v>反復発話</x:v>
      </x:c>
      <x:c r="I67" s="1" t="str">
        <x:v>同じ文を複数回送って統計と画面を確認</x:v>
      </x:c>
      <x:c r="J67" s="1" t="str">
        <x:v>#26;#30</x:v>
      </x:c>
      <x:c r="K67" s="1" t="str">
        <x:v>server/pipeline.py;web/teacher.js:applyStats</x:v>
      </x:c>
      <x:c r="L67" s="1" t="str">
        <x:v>tests/unit/test_stats_breakdown.py::test_cache_hits_do_not_dilute_median_mt_ms;tests/unit/test_mt_cache.py</x:v>
      </x:c>
      <x:c r="M67" s="1" t="str">
        <x:v>pytest: pass=15, fail=0, error=0, skip=0. docs/qa/runs/20260908-112049/story-evidence.json #MON-06
docs/qa/runs/20260908-112500-browser/browser.json #MON-06; cache_display=pass
docs/qa/runs/20260908-112624-native-browser/browser.json #MON-06; native_cache_stats_keep_real_inference_median=pass</x:v>
      </x:c>
      <x:c r="N67" s="1" t="str">
        <x:v>
テスト証拠を現行sourceで再監査できないため部分確認。</x:v>
      </x:c>
      <x:c r="O67" s="1" t="str">
        <x:v>2026-09-08T11:28:16.537329+09:00</x:v>
      </x:c>
    </x:row>
    <x:row r="68" ht="114" customHeight="1">
      <x:c r="A68" s="4" t="str">
        <x:v>MON-07</x:v>
      </x:c>
      <x:c r="B68" s="4" t="str">
        <x:v>先生モニター</x:v>
      </x:c>
      <x:c r="C68" s="4" t="str">
        <x:v>先生として、マイクの無音に気付きたい</x:v>
      </x:c>
      <x:c r="D68" s="4" t="str">
        <x:v>配信開始/再開から30秒以上無音で警告。発話後に再武装し、配信前には警告しない</x:v>
      </x:c>
      <x:c r="E68" s="4" t="str">
        <x:v>実装あり</x:v>
      </x:c>
      <x:c r="F68" s="4" t="str">
        <x:v>部分確認</x:v>
      </x:c>
      <x:c r="G68" s="4" t="str">
        <x:v>ブラウザ</x:v>
      </x:c>
      <x:c r="H68" s="4" t="str">
        <x:v>短縮可能な無音閾値</x:v>
      </x:c>
      <x:c r="I68" s="4" t="str">
        <x:v>開始前待機→開始→無音→発話→無音、先生交代を確認</x:v>
      </x:c>
      <x:c r="J68" s="4" t="str">
        <x:v>E-01</x:v>
      </x:c>
      <x:c r="K68" s="4" t="str">
        <x:v>server/pipeline.py:_check_mic_silence;web/teacher.js</x:v>
      </x:c>
      <x:c r="L68" s="4" t="str">
        <x:v>tests/integration/test_monitoring.py::TestSilenceWarning</x:v>
      </x:c>
      <x:c r="M68" s="4" t="str">
        <x:v>pytest: pass=3, fail=0, error=0, skip=0. docs/qa/runs/20260908-112049/story-evidence.json #MON-07
docs/qa/runs/20260908-112500-browser/browser.json #MON-07; silence_warning_display_and_clear=pass
docs/qa/runs/20260908-112624-native-browser/browser.json #MON-07; native_silence_warning_lifecycle_and_swap=pass</x:v>
      </x:c>
      <x:c r="N68" s="4" t="str">
        <x:v>
テスト証拠を現行sourceで再監査できないため部分確認。</x:v>
      </x:c>
      <x:c r="O68" s="4" t="str">
        <x:v>2026-09-08T11:28:16.537329+09:00</x:v>
      </x:c>
    </x:row>
    <x:row r="69" ht="114" customHeight="1">
      <x:c r="A69" s="1" t="str">
        <x:v>MON-08</x:v>
      </x:c>
      <x:c r="B69" s="1" t="str">
        <x:v>先生モニター</x:v>
      </x:c>
      <x:c r="C69" s="1" t="str">
        <x:v>先生として、処理混雑に合わせて話し方を調整したい</x:v>
      </x:c>
      <x:c r="D69" s="1" t="str">
        <x:v>音声滞留10秒以上またはMT待ち3件以上で過負荷警告し解消時に消す</x:v>
      </x:c>
      <x:c r="E69" s="1" t="str">
        <x:v>実装あり</x:v>
      </x:c>
      <x:c r="F69" s="1" t="str">
        <x:v>部分確認</x:v>
      </x:c>
      <x:c r="G69" s="1" t="str">
        <x:v>ブラウザ</x:v>
      </x:c>
      <x:c r="H69" s="1" t="str">
        <x:v>低速ASR/MT</x:v>
      </x:c>
      <x:c r="I69" s="1" t="str">
        <x:v>キューを滞留させて排出する</x:v>
      </x:c>
      <x:c r="J69" s="1" t="str">
        <x:v>E-05</x:v>
      </x:c>
      <x:c r="K69" s="1" t="str">
        <x:v>server/pipeline.py:stats_snapshot;web/teacher.js</x:v>
      </x:c>
      <x:c r="L69" s="1" t="str">
        <x:v>tests/integration/test_monitoring.py::TestOverloadWarning;tests/unit/test_audio_queue_seconds.py;qa_checks/test_monitor_thresholds.py</x:v>
      </x:c>
      <x:c r="M69" s="1" t="str">
        <x:v>pytest: pass=12, fail=0, error=0, skip=0. docs/qa/runs/20260908-112049/story-evidence.json #MON-08
docs/qa/runs/20260908-112500-browser/browser.json #MON-08; overload_warning_display=pass
docs/qa/runs/20260908-112624-native-browser/browser.json #MON-08; native_overload_audio_and_mt_then_clear=pass</x:v>
      </x:c>
      <x:c r="N69" s="1" t="str">
        <x:v>出荷閾値の挙動を確認。学校実機に適した閾値かの調整は別途必要
テスト証拠を現行sourceで再監査できないため部分確認。</x:v>
      </x:c>
      <x:c r="O69" s="1" t="str">
        <x:v>2026-09-08T11:28:16.537329+09:00</x:v>
      </x:c>
    </x:row>
    <x:row r="70" ht="100" customHeight="1">
      <x:c r="A70" s="4" t="str">
        <x:v>REC-01</x:v>
      </x:c>
      <x:c r="B70" s="4" t="str">
        <x:v>授業記録</x:v>
      </x:c>
      <x:c r="C70" s="4" t="str">
        <x:v>先生として、同意なく記録を残したくない</x:v>
      </x:c>
      <x:c r="D70" s="4" t="str">
        <x:v>既定OFFで授業を開始・終了しても記録ファイルを作らない</x:v>
      </x:c>
      <x:c r="E70" s="4" t="str">
        <x:v>実装あり</x:v>
      </x:c>
      <x:c r="F70" s="4" t="str">
        <x:v>部分確認</x:v>
      </x:c>
      <x:c r="G70" s="4" t="str">
        <x:v>自動</x:v>
      </x:c>
      <x:c r="H70" s="4" t="str">
        <x:v>隔離記録先・既定設定</x:v>
      </x:c>
      <x:c r="I70" s="4" t="str">
        <x:v>先生と生徒で発話配信→終了→出力先を検査</x:v>
      </x:c>
      <x:c r="J70" s="4" t="str">
        <x:v>F-10;N-07</x:v>
      </x:c>
      <x:c r="K70" s="4" t="str">
        <x:v>server/config.py;server/pipeline.py;server/recorder.py</x:v>
      </x:c>
      <x:c r="L70" s="4" t="str">
        <x:v>tests/integration/test_recording.py::TestDefaultOff;tests/invariants/test_privacy_invariants.py</x:v>
      </x:c>
      <x:c r="M70" s="4" t="str">
        <x:v>pytest: pass=11, fail=0, error=0, skip=0. docs/qa/runs/20260908-112049/story-evidence.json #REC-01</x:v>
      </x:c>
      <x:c r="N70" s="4" t="str">
        <x:v>
テスト証拠を現行sourceで再監査できないため部分確認。</x:v>
      </x:c>
      <x:c r="O70" s="4" t="str">
        <x:v>2026-09-08T11:23:44.768830+09:00</x:v>
      </x:c>
    </x:row>
    <x:row r="71" ht="114" customHeight="1">
      <x:c r="A71" s="1" t="str">
        <x:v>REC-02</x:v>
      </x:c>
      <x:c r="B71" s="1" t="str">
        <x:v>授業記録</x:v>
      </x:c>
      <x:c r="C71" s="1" t="str">
        <x:v>先生と生徒として、記録中か知りたい</x:v>
      </x:c>
      <x:c r="D71" s="1" t="str">
        <x:v>トグル変更を双方へ反映し、途中参加者も現在の記録状態を表示する</x:v>
      </x:c>
      <x:c r="E71" s="1" t="str">
        <x:v>実装あり</x:v>
      </x:c>
      <x:c r="F71" s="1" t="str">
        <x:v>部分確認</x:v>
      </x:c>
      <x:c r="G71" s="1" t="str">
        <x:v>ブラウザ</x:v>
      </x:c>
      <x:c r="H71" s="1" t="str">
        <x:v>先生と生徒接続</x:v>
      </x:c>
      <x:c r="I71" s="1" t="str">
        <x:v>ON/OFF切替・記録中の途中参加</x:v>
      </x:c>
      <x:c r="J71" s="1" t="str">
        <x:v>F-10</x:v>
      </x:c>
      <x:c r="K71" s="1" t="str">
        <x:v>server/main.py;web/teacher.js;web/student.js</x:v>
      </x:c>
      <x:c r="L71" s="1" t="str">
        <x:v>tests/integration/test_recording.py::TestRecordingOn::test_indicator_broadcast_to_teacher_and_student;tests/integration/test_recording.py::TestRecordingOn::test_late_joiner_sees_recording_state</x:v>
      </x:c>
      <x:c r="M71" s="1" t="str">
        <x:v>pytest: pass=2, fail=0, error=0, skip=0. docs/qa/runs/20260908-112049/story-evidence.json #REC-02
docs/qa/runs/20260908-112500-browser/browser.json #REC-02; teacher_recording_toggle=pass
docs/qa/runs/20260908-112624-native-browser/browser.json #REC-02; native_recording_all_screens=pass</x:v>
      </x:c>
      <x:c r="N71" s="1" t="str">
        <x:v> 合格条件の画面挙動を検証済み。入力・機器の代替範囲はdocs/qa/README.md参照。
テスト証拠を現行sourceで再監査できないため部分確認。</x:v>
      </x:c>
      <x:c r="O71" s="1" t="str">
        <x:v>2026-09-08T11:28:16.537329+09:00</x:v>
      </x:c>
    </x:row>
    <x:row r="72" ht="100" customHeight="1">
      <x:c r="A72" s="4" t="str">
        <x:v>REC-03</x:v>
      </x:c>
      <x:c r="B72" s="4" t="str">
        <x:v>授業記録</x:v>
      </x:c>
      <x:c r="C72" s="4" t="str">
        <x:v>先生として、授業後に原文と訳文を読み返したい</x:v>
      </x:c>
      <x:c r="D72" s="4" t="str">
        <x:v>記録ONで確定した発話を終了時にJSONLと日本語/配信言語Markdownへ保存。授業中は未保存</x:v>
      </x:c>
      <x:c r="E72" s="4" t="str">
        <x:v>実装あり</x:v>
      </x:c>
      <x:c r="F72" s="4" t="str">
        <x:v>部分確認</x:v>
      </x:c>
      <x:c r="G72" s="4" t="str">
        <x:v>自動</x:v>
      </x:c>
      <x:c r="H72" s="4" t="str">
        <x:v>隔離記録先</x:v>
      </x:c>
      <x:c r="I72" s="4" t="str">
        <x:v>ON→英語生徒に発話→終了→ファイル内容検査</x:v>
      </x:c>
      <x:c r="J72" s="4" t="str">
        <x:v>F-10</x:v>
      </x:c>
      <x:c r="K72" s="4" t="str">
        <x:v>server/recorder.py;server/pipeline.py</x:v>
      </x:c>
      <x:c r="L72" s="4" t="str">
        <x:v>tests/integration/test_recording.py::TestRecordingOn::test_writes_files_only_at_end_not_before;tests/unit/test_recorder.py</x:v>
      </x:c>
      <x:c r="M72" s="4" t="str">
        <x:v>pytest: pass=7, fail=0, error=0, skip=0. docs/qa/runs/20260908-112049/story-evidence.json #REC-03</x:v>
      </x:c>
      <x:c r="N72" s="4" t="str">
        <x:v>授業中未保存、終了時のJSONL・日本語/配信言語Markdown、非選択言語ファイルなしを実ファイルで確認
テスト証拠を現行sourceで再監査できないため部分確認。</x:v>
      </x:c>
      <x:c r="O72" s="4" t="str">
        <x:v>2026-09-08T11:23:44.768830+09:00</x:v>
      </x:c>
    </x:row>
    <x:row r="73" ht="100" customHeight="1">
      <x:c r="A73" s="1" t="str">
        <x:v>REC-04</x:v>
      </x:c>
      <x:c r="B73" s="1" t="str">
        <x:v>授業記録</x:v>
      </x:c>
      <x:c r="C73" s="1" t="str">
        <x:v>生徒として、個人情報や生音声を保存されたくない</x:v>
      </x:c>
      <x:c r="D73" s="1" t="str">
        <x:v>記録には発話原文・訳文・時刻・処理時間だけを含め、個人情報/接続情報/音声バイナリを含めない</x:v>
      </x:c>
      <x:c r="E73" s="1" t="str">
        <x:v>実装あり</x:v>
      </x:c>
      <x:c r="F73" s="1" t="str">
        <x:v>部分確認</x:v>
      </x:c>
      <x:c r="G73" s="1" t="str">
        <x:v>自動</x:v>
      </x:c>
      <x:c r="H73" s="1" t="str">
        <x:v>記録ON/OFFの両方</x:v>
      </x:c>
      <x:c r="I73" s="1" t="str">
        <x:v>ファイルガードとJSONキーを検査</x:v>
      </x:c>
      <x:c r="J73" s="1" t="str">
        <x:v>N-07;F-10</x:v>
      </x:c>
      <x:c r="K73" s="1" t="str">
        <x:v>server/recorder.py;tests/fs_guard.py</x:v>
      </x:c>
      <x:c r="L73" s="1" t="str">
        <x:v>tests/invariants/test_privacy_invariants.py;tests/integration/test_recording.py::TestRecordingOn::test_output_contains_no_student_info</x:v>
      </x:c>
      <x:c r="M73" s="1" t="str">
        <x:v>pytest: pass=10, fail=0, error=0, skip=0. docs/qa/runs/20260908-112049/story-evidence.json #REC-04</x:v>
      </x:c>
      <x:c r="N73" s="1" t="str">
        <x:v>
テスト証拠を現行sourceで再監査できないため部分確認。</x:v>
      </x:c>
      <x:c r="O73" s="1" t="str">
        <x:v>2026-09-08T11:23:44.768830+09:00</x:v>
      </x:c>
    </x:row>
    <x:row r="74" ht="100" customHeight="1">
      <x:c r="A74" s="4" t="str">
        <x:v>REC-05</x:v>
      </x:c>
      <x:c r="B74" s="4" t="str">
        <x:v>授業記録</x:v>
      </x:c>
      <x:c r="C74" s="4" t="str">
        <x:v>先生として、終了直前の発話も保存したい</x:v>
      </x:c>
      <x:c r="D74" s="4" t="str">
        <x:v>最初の発話の認識中や最後の翻訳中に終了してもキュー排出後の原文・全訳文が保存される</x:v>
      </x:c>
      <x:c r="E74" s="4" t="str">
        <x:v>要確認</x:v>
      </x:c>
      <x:c r="F74" s="4" t="str">
        <x:v>不合格</x:v>
      </x:c>
      <x:c r="G74" s="4" t="str">
        <x:v>追加検証</x:v>
      </x:c>
      <x:c r="H74" s="4" t="str">
        <x:v>記録ON・遅いASR/MT</x:v>
      </x:c>
      <x:c r="I74" s="4" t="str">
        <x:v>最初の発話途中/認識待ち/翻訳待ちで終了する</x:v>
      </x:c>
      <x:c r="J74" s="4" t="str">
        <x:v>F-10</x:v>
      </x:c>
      <x:c r="K74" s="4" t="str">
        <x:v>server/pipeline.py:finalize_recording;server/main.py:handle_control</x:v>
      </x:c>
      <x:c r="L74" s="4" t="str">
        <x:v>qa_checks/test_story_edges.py::test_rec05_first_pending_utterance_is_drained_before_save</x:v>
      </x:c>
      <x:c r="M74" s="4" t="str">
        <x:v>pytest: pass=0, fail=1, error=0, skip=0. docs/qa/runs/20260908-112049/story-evidence.json #REC-05</x:v>
      </x:c>
      <x:c r="N74" s="4" t="str">
        <x:v>再現: 最初のASR待ちでもhas_entries=Falseで終了処理が即帰りし、終了時保存を逃す。 修正は未実施。</x:v>
      </x:c>
      <x:c r="O74" s="4" t="str">
        <x:v>2026-09-08T11:23:44.768830+09:00</x:v>
      </x:c>
    </x:row>
    <x:row r="75" ht="100" customHeight="1">
      <x:c r="A75" s="1" t="str">
        <x:v>REC-06</x:v>
      </x:c>
      <x:c r="B75" s="1" t="str">
        <x:v>授業記録</x:v>
      </x:c>
      <x:c r="C75" s="1" t="str">
        <x:v>先生として、保存対象の期間をトグルで選びたい</x:v>
      </x:c>
      <x:c r="D75" s="1" t="str">
        <x:v>OFF中の確定発話は保存せず、ON中の確定発話は後でOFFにしても終了時に残す</x:v>
      </x:c>
      <x:c r="E75" s="1" t="str">
        <x:v>実装あり</x:v>
      </x:c>
      <x:c r="F75" s="1" t="str">
        <x:v>部分確認</x:v>
      </x:c>
      <x:c r="G75" s="1" t="str">
        <x:v>自動</x:v>
      </x:c>
      <x:c r="H75" s="1" t="str">
        <x:v>ON/OFFを切り替える授業</x:v>
      </x:c>
      <x:c r="I75" s="1" t="str">
        <x:v>OFF発話→ON発話→OFF発話→終了し保存seqを比較</x:v>
      </x:c>
      <x:c r="J75" s="1" t="str">
        <x:v>F-10</x:v>
      </x:c>
      <x:c r="K75" s="1" t="str">
        <x:v>server/pipeline.py:_publish_turn;server/recorder.py</x:v>
      </x:c>
      <x:c r="L75" s="1" t="str">
        <x:v>qa_checks/test_story_edges.py::test_rec06_toggle_uses_confirmation_time</x:v>
      </x:c>
      <x:c r="M75" s="1" t="str">
        <x:v>pytest: pass=1, fail=0, error=0, skip=0. docs/qa/runs/20260908-112049/story-evidence.json #REC-06</x:v>
      </x:c>
      <x:c r="N75" s="1" t="str">
        <x:v>記録対象は音声の開始時刻でなく、認識結果の確定時点のON/OFFで決まる
テスト証拠を現行sourceで再監査できないため部分確認。</x:v>
      </x:c>
      <x:c r="O75" s="1" t="str">
        <x:v>2026-09-08T11:23:44.768830+09:00</x:v>
      </x:c>
    </x:row>
    <x:row r="76" ht="100" customHeight="1">
      <x:c r="A76" s="4" t="str">
        <x:v>REC-07</x:v>
      </x:c>
      <x:c r="B76" s="4" t="str">
        <x:v>授業記録</x:v>
      </x:c>
      <x:c r="C76" s="4" t="str">
        <x:v>先生として、保存に失敗しても内容を失いたくない</x:v>
      </x:c>
      <x:c r="D76" s="4" t="str">
        <x:v>書込失敗時に分かる通知があり再試行で保存でき、同一分の別授業を上書きしない</x:v>
      </x:c>
      <x:c r="E76" s="4" t="str">
        <x:v>要確認</x:v>
      </x:c>
      <x:c r="F76" s="4" t="str">
        <x:v>不合格</x:v>
      </x:c>
      <x:c r="G76" s="4" t="str">
        <x:v>追加検証</x:v>
      </x:c>
      <x:c r="H76" s="4" t="str">
        <x:v>隔離記録先・模擬書込失敗</x:v>
      </x:c>
      <x:c r="I76" s="4" t="str">
        <x:v>一度書込失敗→再試行。同一分に2回保存する</x:v>
      </x:c>
      <x:c r="J76" s="4" t="str">
        <x:v>F-10から導出した保全条件</x:v>
      </x:c>
      <x:c r="K76" s="4" t="str">
        <x:v>server/recorder.py:write</x:v>
      </x:c>
      <x:c r="L76" s="4" t="str">
        <x:v>qa_checks/test_story_edges.py::test_rec07_retry_after_write_error;qa_checks/test_story_edges.py::test_rec07_sessions_in_same_minute_do_not_overwrite</x:v>
      </x:c>
      <x:c r="M76" s="4" t="str">
        <x:v>pytest: pass=0, fail=2, error=0, skip=0. docs/qa/runs/20260908-112049/story-evidence.json #REC-07</x:v>
      </x:c>
      <x:c r="N76" s="4" t="str">
        <x:v>再現2件: 書込エラー後の再試行が無視される。同一分の別授業が同じ保存先を上書き。 修正は未実施。</x:v>
      </x:c>
      <x:c r="O76" s="4" t="str">
        <x:v>2026-09-08T11:23:44.768830+09:00</x:v>
      </x:c>
    </x:row>
    <x:row r="77" ht="100" customHeight="1">
      <x:c r="A77" s="1" t="str">
        <x:v>CONN-01</x:v>
      </x:c>
      <x:c r="B77" s="1" t="str">
        <x:v>再接続</x:v>
      </x:c>
      <x:c r="C77" s="1" t="str">
        <x:v>生徒として、通信が切れても自動で戻りたい</x:v>
      </x:c>
      <x:c r="D77" s="1" t="str">
        <x:v>切断バナーを出し1秒起点・最大15秒の指数バックオフとジッタで復帰まで試行。成功でリセット</x:v>
      </x:c>
      <x:c r="E77" s="1" t="str">
        <x:v>実装あり</x:v>
      </x:c>
      <x:c r="F77" s="1" t="str">
        <x:v>部分確認</x:v>
      </x:c>
      <x:c r="G77" s="1" t="str">
        <x:v>ブラウザ</x:v>
      </x:c>
      <x:c r="H77" s="1" t="str">
        <x:v>参加済み</x:v>
      </x:c>
      <x:c r="I77" s="1" t="str">
        <x:v>複数回の失敗後に接続を許可する</x:v>
      </x:c>
      <x:c r="J77" s="1" t="str">
        <x:v>E-06</x:v>
      </x:c>
      <x:c r="K77" s="1" t="str">
        <x:v>web/student.js:connect</x:v>
      </x:c>
      <x:c r="L77" s="1" t="str">
        <x:v/>
      </x:c>
      <x:c r="M77" s="1" t="str">
        <x:v>docs/qa/runs/20260908-062424-browser/browser.json #CONN-01; student_retries_multiple_failures=pass
docs/qa/runs/20260908-112500-browser/browser.json #CONN-01; student_retries_multiple_failures=pass</x:v>
      </x:c>
      <x:c r="N77" s="1" t="str">
        <x:v>
テスト証拠を現行sourceで再監査できないため部分確認。</x:v>
      </x:c>
      <x:c r="O77" s="1" t="str">
        <x:v>2026-09-08T11:25:35.655682+09:00</x:v>
      </x:c>
    </x:row>
    <x:row r="78" ht="114" customHeight="1">
      <x:c r="A78" s="4" t="str">
        <x:v>CONN-02</x:v>
      </x:c>
      <x:c r="B78" s="4" t="str">
        <x:v>再接続</x:v>
      </x:c>
      <x:c r="C78" s="4" t="str">
        <x:v>生徒として、切断中の字幕を取り戻したい</x:v>
      </x:c>
      <x:c r="D78" s="4" t="str">
        <x:v>連続受信済みlast_seq以降を直近K件の範囲で再送。未翻訳分はその言語に翻訳する</x:v>
      </x:c>
      <x:c r="E78" s="4" t="str">
        <x:v>実装あり</x:v>
      </x:c>
      <x:c r="F78" s="4" t="str">
        <x:v>部分確認</x:v>
      </x:c>
      <x:c r="G78" s="4" t="str">
        <x:v>自動</x:v>
      </x:c>
      <x:c r="H78" s="4" t="str">
        <x:v>履歴あり・再接続</x:v>
      </x:c>
      <x:c r="I78" s="4" t="str">
        <x:v>last_seq各境界で再参加し欠落集合と受信集合を比較</x:v>
      </x:c>
      <x:c r="J78" s="4" t="str">
        <x:v>F-11</x:v>
      </x:c>
      <x:c r="K78" s="4" t="str">
        <x:v>server/pipeline.py:replay_history;server/session.py</x:v>
      </x:c>
      <x:c r="L78" s="4" t="str">
        <x:v>tests/integration/test_reconnection.py::TestStudentReconnect;tests/integration/test_reconnection.py::TestReplayIsExactlyTheMissingRange</x:v>
      </x:c>
      <x:c r="M78" s="4" t="str">
        <x:v>docs/qa/runs/20260908-062516-native-browser/browser.json #CONN-02; native_reconnect_missing_translation=pass
pytest: pass=9, fail=0, error=0, skip=0. docs/qa/runs/20260908-112049/story-evidence.json #CONN-02
docs/qa/runs/20260908-112624-native-browser/browser.json #CONN-02; native_reconnect_missing_translation=pass</x:v>
      </x:c>
      <x:c r="N78" s="4" t="str">
        <x:v>履歴範囲の未翻訳を実WebSocketと実Edgeで復元。ブラウザwatermark連続送信はCONN-03で確認
テスト証拠を現行sourceで再監査できないため部分確認。</x:v>
      </x:c>
      <x:c r="O78" s="4" t="str">
        <x:v>2026-09-08T11:28:16.537329+09:00</x:v>
      </x:c>
    </x:row>
    <x:row r="79" ht="100" customHeight="1">
      <x:c r="A79" s="1" t="str">
        <x:v>CONN-03</x:v>
      </x:c>
      <x:c r="B79" s="1" t="str">
        <x:v>再接続</x:v>
      </x:c>
      <x:c r="C79" s="1" t="str">
        <x:v>生徒として、新着と復元が交錯しても欠落を残したくない</x:v>
      </x:c>
      <x:c r="D79" s="1" t="str">
        <x:v>順序逆転でも連続受信済みseqだけを申告。履歴上限外はhistory_from-1へ進める</x:v>
      </x:c>
      <x:c r="E79" s="1" t="str">
        <x:v>実装あり</x:v>
      </x:c>
      <x:c r="F79" s="1" t="str">
        <x:v>部分確認</x:v>
      </x:c>
      <x:c r="G79" s="1" t="str">
        <x:v>ブラウザ</x:v>
      </x:c>
      <x:c r="H79" s="1" t="str">
        <x:v>ブラウザ参加済み</x:v>
      </x:c>
      <x:c r="I79" s="1" t="str">
        <x:v>seq穴あき→切断→joined(history_from)→欠落受信を模擬</x:v>
      </x:c>
      <x:c r="J79" s="1" t="str">
        <x:v>F-11</x:v>
      </x:c>
      <x:c r="K79" s="1" t="str">
        <x:v>web/student.js:advanceWatermark,handleMessage</x:v>
      </x:c>
      <x:c r="L79" s="1" t="str">
        <x:v/>
      </x:c>
      <x:c r="M79" s="1" t="str">
        <x:v>docs/qa/runs/20260908-062424-browser/browser.json #CONN-03; continuous_watermark_and_history_floor=pass
docs/qa/runs/20260908-112500-browser/browser.json #CONN-03; continuous_watermark_and_history_floor=pass</x:v>
      </x:c>
      <x:c r="N79" s="1" t="str">
        <x:v>
テスト証拠を現行sourceで再監査できないため部分確認。</x:v>
      </x:c>
      <x:c r="O79" s="1" t="str">
        <x:v>2026-09-08T11:25:35.655682+09:00</x:v>
      </x:c>
    </x:row>
    <x:row r="80" ht="100" customHeight="1">
      <x:c r="A80" s="4" t="str">
        <x:v>CONN-04</x:v>
      </x:c>
      <x:c r="B80" s="4" t="str">
        <x:v>再接続</x:v>
      </x:c>
      <x:c r="C80" s="4" t="str">
        <x:v>生徒として、復元が混雑しても後で取り戻したい</x:v>
      </x:c>
      <x:c r="D80" s="4" t="str">
        <x:v>MT復元投入上限なら1013で再接続させ、ライブ字幕を優先しながら差分を再取得する</x:v>
      </x:c>
      <x:c r="E80" s="4" t="str">
        <x:v>実装あり</x:v>
      </x:c>
      <x:c r="F80" s="4" t="str">
        <x:v>不合格</x:v>
      </x:c>
      <x:c r="G80" s="4" t="str">
        <x:v>自動</x:v>
      </x:c>
      <x:c r="H80" s="4" t="str">
        <x:v>MT混雑</x:v>
      </x:c>
      <x:c r="I80" s="4" t="str">
        <x:v>復元キュー上限到達後に負荷を解除し再参加</x:v>
      </x:c>
      <x:c r="J80" s="4" t="str">
        <x:v>F-11;#25</x:v>
      </x:c>
      <x:c r="K80" s="4" t="str">
        <x:v>server/pipeline.py:_enqueue_mt,replay_history</x:v>
      </x:c>
      <x:c r="L80" s="4" t="str">
        <x:v>tests/unit/test_backpressure.py;qa_checks/test_replay_large_gap.py</x:v>
      </x:c>
      <x:c r="M80" s="4" t="str">
        <x:v>pytest: pass=14, fail=1, error=0, skip=0. docs/qa/runs/20260908-112049/story-evidence.json #CONN-04
docs/qa/runs/20260908-112624-native-browser/browser.json #CONN-04; native_replay_backpressure_recovers=fail, native_cached_large_gap_recovers=pass</x:v>
      </x:c>
      <x:c r="N80" s="4" t="str">
        <x:v>標準watermark=128/history=50は成功。pytestでは明示設定watermark=32で31/32件は成功し33件で1013切断。実HTTP/WS＋Edgeではwatermark=2で、空キュー後の再試行5回でも復元が進まない。</x:v>
      </x:c>
      <x:c r="O80" s="4" t="str">
        <x:v>2026-09-08T11:28:16.537329+09:00</x:v>
      </x:c>
    </x:row>
    <x:row r="81" ht="100" customHeight="1">
      <x:c r="A81" s="1" t="str">
        <x:v>CONN-05</x:v>
      </x:c>
      <x:c r="B81" s="1" t="str">
        <x:v>再接続</x:v>
      </x:c>
      <x:c r="C81" s="1" t="str">
        <x:v>生徒として、サーバー再起動後に新しい授業へ入りたい</x:v>
      </x:c>
      <x:c r="D81" s="1" t="str">
        <x:v>旧コード拒否で参加画面に戻り、新コードで参加した字幕が旧seqと混同されない</x:v>
      </x:c>
      <x:c r="E81" s="1" t="str">
        <x:v>要確認</x:v>
      </x:c>
      <x:c r="F81" s="1" t="str">
        <x:v>不合格</x:v>
      </x:c>
      <x:c r="G81" s="1" t="str">
        <x:v>追加検証</x:v>
      </x:c>
      <x:c r="H81" s="1" t="str">
        <x:v>参加済み・別ルーム起動</x:v>
      </x:c>
      <x:c r="I81" s="1" t="str">
        <x:v>再接続をbad_code拒否→新コード入力→seq1から受信</x:v>
      </x:c>
      <x:c r="J81" s="1" t="str">
        <x:v>E-06から導出した復旧条件</x:v>
      </x:c>
      <x:c r="K81" s="1" t="str">
        <x:v>web/student.js:join_rejected,addCard</x:v>
      </x:c>
      <x:c r="L81" s="1" t="str">
        <x:v/>
      </x:c>
      <x:c r="M81" s="1" t="str">
        <x:v>docs/qa/runs/20260908-112500-browser/browser.json #CONN-05; new_server_does_not_reuse_old_cards=fail</x:v>
      </x:c>
      <x:c r="N81" s="1" t="str">
        <x:v>再現: 新コード再参加で旧カード・seqが残り、新授業のseq=1を重複扱い。 修正は未実施。</x:v>
      </x:c>
      <x:c r="O81" s="1" t="str">
        <x:v>2026-09-08T11:25:35.655682+09:00</x:v>
      </x:c>
    </x:row>
    <x:row r="82" ht="114" customHeight="1">
      <x:c r="A82" s="4" t="str">
        <x:v>CONN-06</x:v>
      </x:c>
      <x:c r="B82" s="4" t="str">
        <x:v>再接続</x:v>
      </x:c>
      <x:c r="C82" s="4" t="str">
        <x:v>生徒として、先生の切断を知って待ちたい</x:v>
      </x:c>
      <x:c r="D82" s="4" t="str">
        <x:v>live先生切断時に残音声を確定してpaused。先生再join時は自動liveへ戻す</x:v>
      </x:c>
      <x:c r="E82" s="4" t="str">
        <x:v>実装あり</x:v>
      </x:c>
      <x:c r="F82" s="4" t="str">
        <x:v>部分確認</x:v>
      </x:c>
      <x:c r="G82" s="4" t="str">
        <x:v>自動</x:v>
      </x:c>
      <x:c r="H82" s="4" t="str">
        <x:v>先生live</x:v>
      </x:c>
      <x:c r="I82" s="4" t="str">
        <x:v>先生接続を閉じ再joinする</x:v>
      </x:c>
      <x:c r="J82" s="4" t="str">
        <x:v>E-07</x:v>
      </x:c>
      <x:c r="K82" s="4" t="str">
        <x:v>server/main.py:handle_teacher_disconnect,handle_join</x:v>
      </x:c>
      <x:c r="L82" s="4" t="str">
        <x:v>tests/integration/test_reconnection.py::TestTeacherDisconnect::test_disconnect_pauses_and_rejoin_resumes;tests/invariants/test_failure_modes.py::TestDisconnect</x:v>
      </x:c>
      <x:c r="M82" s="4" t="str">
        <x:v>docs/qa/runs/20260908-062516-native-browser/browser.json #CONN-06; native_teacher_disconnect_flush_and_resume=pass
pytest: pass=3, fail=0, error=0, skip=0. docs/qa/runs/20260908-112049/story-evidence.json #CONN-06
docs/qa/runs/20260908-112624-native-browser/browser.json #CONN-06; native_teacher_disconnect_flush_and_resume=pass</x:v>
      </x:c>
      <x:c r="N82" s="4" t="str">
        <x:v>先生切断時の未確定発話flush・生徒一時停止・同タブ再接続後live復帰と次字幕を実HTTP/WS・Edgeで確認
テスト証拠を現行sourceで再監査できないため部分確認。</x:v>
      </x:c>
      <x:c r="O82" s="4" t="str">
        <x:v>2026-09-08T11:28:16.537329+09:00</x:v>
      </x:c>
    </x:row>
    <x:row r="83" ht="100" customHeight="1">
      <x:c r="A83" s="1" t="str">
        <x:v>CONN-07</x:v>
      </x:c>
      <x:c r="B83" s="1" t="str">
        <x:v>再接続</x:v>
      </x:c>
      <x:c r="C83" s="1" t="str">
        <x:v>先生として、手動停止は接続復帰で勝手に再開したくない</x:v>
      </x:c>
      <x:c r="D83" s="1" t="str">
        <x:v>手動pause後に切断・再接続してもpausedを維持する</x:v>
      </x:c>
      <x:c r="E83" s="1" t="str">
        <x:v>実装あり</x:v>
      </x:c>
      <x:c r="F83" s="1" t="str">
        <x:v>部分確認</x:v>
      </x:c>
      <x:c r="G83" s="1" t="str">
        <x:v>自動</x:v>
      </x:c>
      <x:c r="H83" s="1" t="str">
        <x:v>手動pause済み</x:v>
      </x:c>
      <x:c r="I83" s="1" t="str">
        <x:v>先生接続を閉じ再joinする</x:v>
      </x:c>
      <x:c r="J83" s="1" t="str">
        <x:v>E-07</x:v>
      </x:c>
      <x:c r="K83" s="1" t="str">
        <x:v>server/main.py:handle_control,handle_join</x:v>
      </x:c>
      <x:c r="L83" s="1" t="str">
        <x:v>tests/integration/test_reconnection.py::TestTeacherDisconnect::test_manual_pause_is_not_resumed_by_rejoin</x:v>
      </x:c>
      <x:c r="M83" s="1" t="str">
        <x:v>pytest: pass=1, fail=0, error=0, skip=0. docs/qa/runs/20260908-112049/story-evidence.json #CONN-07</x:v>
      </x:c>
      <x:c r="N83" s="1" t="str">
        <x:v>
テスト証拠を現行sourceで再監査できないため部分確認。</x:v>
      </x:c>
      <x:c r="O83" s="1" t="str">
        <x:v>2026-09-08T11:23:44.768830+09:00</x:v>
      </x:c>
    </x:row>
    <x:row r="84" ht="100" customHeight="1">
      <x:c r="A84" s="4" t="str">
        <x:v>CONN-08</x:v>
      </x:c>
      <x:c r="B84" s="4" t="str">
        <x:v>再接続</x:v>
      </x:c>
      <x:c r="C84" s="4" t="str">
        <x:v>先生として、通信復帰後に操作を続けたい</x:v>
      </x:c>
      <x:c r="D84" s="4" t="str">
        <x:v>切断時に操作を無効化し、接続失敗が複数回続いても再試行して復帰する</x:v>
      </x:c>
      <x:c r="E84" s="4" t="str">
        <x:v>要確認</x:v>
      </x:c>
      <x:c r="F84" s="4" t="str">
        <x:v>不合格</x:v>
      </x:c>
      <x:c r="G84" s="4" t="str">
        <x:v>追加検証</x:v>
      </x:c>
      <x:c r="H84" s="4" t="str">
        <x:v>先生参加済み</x:v>
      </x:c>
      <x:c r="I84" s="4" t="str">
        <x:v>先生のWSを切断→次の接続も失敗→接続許可</x:v>
      </x:c>
      <x:c r="J84" s="4" t="str">
        <x:v>E-07</x:v>
      </x:c>
      <x:c r="K84" s="4" t="str">
        <x:v>web/teacher.js:connect</x:v>
      </x:c>
      <x:c r="L84" s="4" t="str">
        <x:v/>
      </x:c>
      <x:c r="M84" s="4" t="str">
        <x:v>docs/qa/runs/20260908-112500-browser/browser.json #CONN-08; teacher_retries_after_failed_retry=fail</x:v>
      </x:c>
      <x:c r="N84" s="4" t="str">
        <x:v>再現: 先生の初回再接続失敗後、次の再試行を予約しない。 修正は未実施。</x:v>
      </x:c>
      <x:c r="O84" s="4" t="str">
        <x:v>2026-09-08T11:25:35.655682+09:00</x:v>
      </x:c>
    </x:row>
    <x:row r="85" ht="148" customHeight="1">
      <x:c r="A85" s="1" t="str">
        <x:v>CONN-09</x:v>
      </x:c>
      <x:c r="B85" s="1" t="str">
        <x:v>再接続</x:v>
      </x:c>
      <x:c r="C85" s="1" t="str">
        <x:v>先生として、新しいタブを正として配信したい</x:v>
      </x:c>
      <x:c r="D85" s="1" t="str">
        <x:v>新先生が旧先生を4000で切断し配信は続く。旧画面は理由を表示し再接続しない</x:v>
      </x:c>
      <x:c r="E85" s="1" t="str">
        <x:v>実装あり</x:v>
      </x:c>
      <x:c r="F85" s="1" t="str">
        <x:v>不合格</x:v>
      </x:c>
      <x:c r="G85" s="1" t="str">
        <x:v>ブラウザ</x:v>
      </x:c>
      <x:c r="H85" s="1" t="str">
        <x:v>先生2タブ</x:v>
      </x:c>
      <x:c r="I85" s="1" t="str">
        <x:v>新タブ参加→旧タブ切断理由と再接続不在を確認</x:v>
      </x:c>
      <x:c r="J85" s="1" t="str">
        <x:v>E-08</x:v>
      </x:c>
      <x:c r="K85" s="1" t="str">
        <x:v>server/main.py:handle_join;web/teacher.js:connect,setButtons,ensureMic</x:v>
      </x:c>
      <x:c r="L85" s="1" t="str">
        <x:v>tests/integration/test_reconnection.py::TestTeacherDisconnect::test_duplicate_teacher_last_wins_and_session_continues</x:v>
      </x:c>
      <x:c r="M85" s="1" t="str">
        <x:v>docs/qa/runs/20260908-062424-browser/browser.json #CONN-09; replaced_teacher_does_not_reconnect=pass
pytest: pass=1, fail=0, error=0, skip=0. docs/qa/runs/20260908-112049/story-evidence.json #CONN-09
docs/qa/runs/20260908-112500-browser/browser.json #CONN-09; replaced_teacher_does_not_reconnect=pass
docs/qa/runs/20260908-112624-native-browser/browser.json #CONN-09; native_teacher_replacement_audio_continues=fail</x:v>
      </x:c>
      <x:c r="N85" s="1" t="str">
        <x:v>実Edgeで先生交代後、旧先生は切断・再接続停止するが、新先生がmicReady=false・AudioWorklet未生成・開始不可となり音声継続できない。新先生がlive参加後にもユーザー操作で収音経路を準備し、送信を再開できるよう修正後、同じnativeシナリオを再実行する。</x:v>
      </x:c>
      <x:c r="O85" s="1" t="str">
        <x:v>2026-09-08T11:28:16.537329+09:00</x:v>
      </x:c>
    </x:row>
    <x:row r="86" ht="100" customHeight="1">
      <x:c r="A86" s="4" t="str">
        <x:v>SAFE-01</x:v>
      </x:c>
      <x:c r="B86" s="4" t="str">
        <x:v>負荷・防御</x:v>
      </x:c>
      <x:c r="C86" s="4" t="str">
        <x:v>先生として、重い認識中も停止操作をしたい</x:v>
      </x:c>
      <x:c r="D86" s="4" t="str">
        <x:v>ASR待ち秒数上限で超過音声を通知付き破棄し受信ループを塞がない。破棄量を計測する</x:v>
      </x:c>
      <x:c r="E86" s="4" t="str">
        <x:v>実装あり</x:v>
      </x:c>
      <x:c r="F86" s="4" t="str">
        <x:v>部分確認</x:v>
      </x:c>
      <x:c r="G86" s="4" t="str">
        <x:v>自動</x:v>
      </x:c>
      <x:c r="H86" s="4" t="str">
        <x:v>遅いASR・小さな上限</x:v>
      </x:c>
      <x:c r="I86" s="4" t="str">
        <x:v>大量音声→pause/endが応答するか確認</x:v>
      </x:c>
      <x:c r="J86" s="4" t="str">
        <x:v>#25;E-05</x:v>
      </x:c>
      <x:c r="K86" s="4" t="str">
        <x:v>server/pipeline.py:_enqueue_asr;server/main.py</x:v>
      </x:c>
      <x:c r="L86" s="4" t="str">
        <x:v>tests/unit/test_backpressure.py;tests/invariants/test_failure_modes.py::TestBackpressure;tests/unit/test_call_counters.py</x:v>
      </x:c>
      <x:c r="M86" s="4" t="str">
        <x:v>pytest: pass=22, fail=0, error=0, skip=0. docs/qa/runs/20260908-112049/story-evidence.json #SAFE-01</x:v>
      </x:c>
      <x:c r="N86" s="4" t="str">
        <x:v>秒数上限、超過破棄、先生通知、非ブロック、破棄件数・秒数を確認。旧E-05の全発話無欠落とは差があり超過音声は破棄される
テスト証拠を現行sourceで再監査できないため部分確認。</x:v>
      </x:c>
      <x:c r="O86" s="4" t="str">
        <x:v>2026-09-08T11:23:44.768830+09:00</x:v>
      </x:c>
    </x:row>
    <x:row r="87" ht="100" customHeight="1">
      <x:c r="A87" s="1" t="str">
        <x:v>SAFE-02</x:v>
      </x:c>
      <x:c r="B87" s="1" t="str">
        <x:v>負荷・防御</x:v>
      </x:c>
      <x:c r="C87" s="1" t="str">
        <x:v>生徒として、別の端末が遅くても字幕を受け取りたい</x:v>
      </x:c>
      <x:c r="D87" s="1" t="str">
        <x:v>クライアント別送信キューで隔離し、上限/タイムアウト時は遅い接続だけ1013で閉じる</x:v>
      </x:c>
      <x:c r="E87" s="1" t="str">
        <x:v>実装あり</x:v>
      </x:c>
      <x:c r="F87" s="1" t="str">
        <x:v>部分確認</x:v>
      </x:c>
      <x:c r="G87" s="1" t="str">
        <x:v>自動</x:v>
      </x:c>
      <x:c r="H87" s="1" t="str">
        <x:v>遅い生徒1名と正常生徒</x:v>
      </x:c>
      <x:c r="I87" s="1" t="str">
        <x:v>送信待ち/キュー溢れを発生させ正常生徒の到達を確認</x:v>
      </x:c>
      <x:c r="J87" s="1" t="str">
        <x:v>#25</x:v>
      </x:c>
      <x:c r="K87" s="1" t="str">
        <x:v>server/delivery.py;server/pipeline.py</x:v>
      </x:c>
      <x:c r="L87" s="1" t="str">
        <x:v>tests/unit/test_delivery.py;tests/invariants/test_failure_modes.py::TestSlowStudent;qa_checks/test_safe_recovery_contracts.py::test_overflow_closes_only_slow_sender_with_1013;qa_checks/test_safe_recovery_contracts.py::test_timeout_closes_only_slow_sender_with_1013</x:v>
      </x:c>
      <x:c r="M87" s="1" t="str">
        <x:v>pytest: pass=13, fail=0, error=0, skip=0. docs/qa/runs/20260908-112049/story-evidence.json #SAFE-02</x:v>
      </x:c>
      <x:c r="N87" s="1" t="str">
        <x:v>上限・タイムアウトの双方で遅い側だけ1013、同時送信した正常側は全件受信して生存することを確認
テスト証拠を現行sourceで再監査できないため部分確認。</x:v>
      </x:c>
      <x:c r="O87" s="1" t="str">
        <x:v>2026-09-08T11:23:44.768830+09:00</x:v>
      </x:c>
    </x:row>
    <x:row r="88" ht="100" customHeight="1">
      <x:c r="A88" s="4" t="str">
        <x:v>SAFE-03</x:v>
      </x:c>
      <x:c r="B88" s="4" t="str">
        <x:v>負荷・防御</x:v>
      </x:c>
      <x:c r="C88" s="4" t="str">
        <x:v>先生として、認識や翻訳が固まったことを知りたい</x:v>
      </x:c>
      <x:c r="D88" s="4" t="str">
        <x:v>推論タイムアウトで1件を諦めて通知しワーカーループを解放する</x:v>
      </x:c>
      <x:c r="E88" s="4" t="str">
        <x:v>実装あり</x:v>
      </x:c>
      <x:c r="F88" s="4" t="str">
        <x:v>部分確認</x:v>
      </x:c>
      <x:c r="G88" s="4" t="str">
        <x:v>自動</x:v>
      </x:c>
      <x:c r="H88" s="4" t="str">
        <x:v>固まるASR/MT</x:v>
      </x:c>
      <x:c r="I88" s="4" t="str">
        <x:v>短いタイムアウトで警告と後続動作を確認</x:v>
      </x:c>
      <x:c r="J88" s="4" t="str">
        <x:v>#25</x:v>
      </x:c>
      <x:c r="K88" s="4" t="str">
        <x:v>server/pipeline.py:_process_segment,_process_mt_job</x:v>
      </x:c>
      <x:c r="L88" s="4" t="str">
        <x:v>qa_checks/test_timeout_shutdown_lifecycle.py::test_asr_timeout_releases_worker_loop_and_followup_can_complete;qa_checks/test_timeout_shutdown_lifecycle.py::test_mt_timeout_releases_worker_loop_and_followup_can_complete</x:v>
      </x:c>
      <x:c r="M88" s="4" t="str">
        <x:v>pytest: pass=2, fail=0, error=0, skip=0. docs/qa/runs/20260908-112049/story-evidence.json #SAFE-03</x:v>
      </x:c>
      <x:c r="N88" s="4" t="str">
        <x:v>ASR/MT双方で通知、固着executorを待たないworker継続、後続字幕成功を確認。実行中スレッド自体は停止しない
テスト証拠を現行sourceで再監査できないため部分確認。</x:v>
      </x:c>
      <x:c r="O88" s="4" t="str">
        <x:v>2026-09-08T11:23:44.768830+09:00</x:v>
      </x:c>
    </x:row>
    <x:row r="89" ht="100" customHeight="1">
      <x:c r="A89" s="1" t="str">
        <x:v>SAFE-04</x:v>
      </x:c>
      <x:c r="B89" s="1" t="str">
        <x:v>負荷・防御</x:v>
      </x:c>
      <x:c r="C89" s="1" t="str">
        <x:v>運用者として、不正メッセージでもサーバーを維持したい</x:v>
      </x:c>
      <x:c r="D89" s="1" t="str">
        <x:v>不正JSON/未知操作/未参加制御/巨大テキストはエラー、巨大音声は破棄し接続を維持する</x:v>
      </x:c>
      <x:c r="E89" s="1" t="str">
        <x:v>実装あり</x:v>
      </x:c>
      <x:c r="F89" s="1" t="str">
        <x:v>部分確認</x:v>
      </x:c>
      <x:c r="G89" s="1" t="str">
        <x:v>自動</x:v>
      </x:c>
      <x:c r="H89" s="1" t="str">
        <x:v>WS接続</x:v>
      </x:c>
      <x:c r="I89" s="1" t="str">
        <x:v>異常入力後に正常join/controlで回復を確認</x:v>
      </x:c>
      <x:c r="J89" s="1" t="str">
        <x:v>#25</x:v>
      </x:c>
      <x:c r="K89" s="1" t="str">
        <x:v>server/ws_protocol.py;server/main.py</x:v>
      </x:c>
      <x:c r="L89" s="1" t="str">
        <x:v>tests/unit/test_ws_protocol.py;tests/integration/test_ws_defenses.py;qa_checks/test_safe_recovery_contracts.py::test_invalid_messages_do_not_poison_the_same_websocket</x:v>
      </x:c>
      <x:c r="M89" s="1" t="str">
        <x:v>pytest: pass=29, fail=0, error=0, skip=0. docs/qa/runs/20260908-112049/story-evidence.json #SAFE-04</x:v>
      </x:c>
      <x:c r="N89" s="1" t="str">
        <x:v>不正JSON・未知操作・未参加制御・巨大入力の各エラー後も、同じ接続または同じサーバーで正常join/controlが継続することを確認
テスト証拠を現行sourceで再監査できないため部分確認。</x:v>
      </x:c>
      <x:c r="O89" s="1" t="str">
        <x:v>2026-09-08T11:23:44.768830+09:00</x:v>
      </x:c>
    </x:row>
    <x:row r="90" ht="100" customHeight="1">
      <x:c r="A90" s="4" t="str">
        <x:v>SAFE-05</x:v>
      </x:c>
      <x:c r="B90" s="4" t="str">
        <x:v>負荷・防御</x:v>
      </x:c>
      <x:c r="C90" s="4" t="str">
        <x:v>生徒として、他サイトから勝手に参加操作されたくない</x:v>
      </x:c>
      <x:c r="D90" s="4" t="str">
        <x:v>同一ホストまたは明示許可Originだけ許可し、外部Origin/nullを拒否。Originなしのツールは許可</x:v>
      </x:c>
      <x:c r="E90" s="4" t="str">
        <x:v>実装あり</x:v>
      </x:c>
      <x:c r="F90" s="4" t="str">
        <x:v>部分確認</x:v>
      </x:c>
      <x:c r="G90" s="4" t="str">
        <x:v>自動</x:v>
      </x:c>
      <x:c r="H90" s="4" t="str">
        <x:v>WSハンドシェイク</x:v>
      </x:c>
      <x:c r="I90" s="4" t="str">
        <x:v>許可/不許可Originを比較</x:v>
      </x:c>
      <x:c r="J90" s="4" t="str">
        <x:v>#25</x:v>
      </x:c>
      <x:c r="K90" s="4" t="str">
        <x:v>server/main.py:origin_allowed</x:v>
      </x:c>
      <x:c r="L90" s="4" t="str">
        <x:v>tests/integration/test_ws_defenses.py</x:v>
      </x:c>
      <x:c r="M90" s="4" t="str">
        <x:v>pytest: pass=16, fail=0, error=0, skip=0. docs/qa/runs/20260908-112049/story-evidence.json #SAFE-05</x:v>
      </x:c>
      <x:c r="N90" s="4" t="str">
        <x:v>認証そのものを提供する機能ではない
テスト証拠を現行sourceで再監査できないため部分確認。</x:v>
      </x:c>
      <x:c r="O90" s="4" t="str">
        <x:v>2026-09-08T11:23:44.768830+09:00</x:v>
      </x:c>
    </x:row>
    <x:row r="91" ht="100" customHeight="1">
      <x:c r="A91" s="1" t="str">
        <x:v>SAFE-06</x:v>
      </x:c>
      <x:c r="B91" s="1" t="str">
        <x:v>負荷・防御</x:v>
      </x:c>
      <x:c r="C91" s="1" t="str">
        <x:v>先生として、生徒用HTTPで参加コードを公開したくない</x:v>
      </x:c>
      <x:c r="D91" s="1" t="str">
        <x:v>非ループバックHTTPのteacher-infoは403、localhost/HTTPSは許可</x:v>
      </x:c>
      <x:c r="E91" s="1" t="str">
        <x:v>実装あり</x:v>
      </x:c>
      <x:c r="F91" s="1" t="str">
        <x:v>部分確認</x:v>
      </x:c>
      <x:c r="G91" s="1" t="str">
        <x:v>自動</x:v>
      </x:c>
      <x:c r="H91" s="1" t="str">
        <x:v>送信元・schemeを変えたHTTP</x:v>
      </x:c>
      <x:c r="I91" s="1" t="str">
        <x:v>teacher-infoへ各経路でアクセス</x:v>
      </x:c>
      <x:c r="J91" s="1" t="str">
        <x:v>R-10</x:v>
      </x:c>
      <x:c r="K91" s="1" t="str">
        <x:v>server/main.py:teacher_info</x:v>
      </x:c>
      <x:c r="L91" s="1" t="str">
        <x:v>tests/integration/test_ops.py::TestTeacherInfoAccess</x:v>
      </x:c>
      <x:c r="M91" s="1" t="str">
        <x:v>pytest: pass=2, fail=0, error=0, skip=0. docs/qa/runs/20260908-112049/story-evidence.json #SAFE-06</x:v>
      </x:c>
      <x:c r="N91" s="1" t="str">
        <x:v>HTTPSは送信元の先生認証なしに許可する現行仕様
テスト証拠を現行sourceで再監査できないため部分確認。</x:v>
      </x:c>
      <x:c r="O91" s="1" t="str">
        <x:v>2026-09-08T11:23:44.768830+09:00</x:v>
      </x:c>
    </x:row>
    <x:row r="92" ht="100" customHeight="1">
      <x:c r="A92" s="4" t="str">
        <x:v>SAFE-07</x:v>
      </x:c>
      <x:c r="B92" s="4" t="str">
        <x:v>負荷・防御</x:v>
      </x:c>
      <x:c r="C92" s="4" t="str">
        <x:v>先生として、生徒に配信や記録を操作されたくない</x:v>
      </x:c>
      <x:c r="D92" s="4" t="str">
        <x:v>student接続の音声/control/recordingを無視し先生操作のみ反映する</x:v>
      </x:c>
      <x:c r="E92" s="4" t="str">
        <x:v>実装あり</x:v>
      </x:c>
      <x:c r="F92" s="4" t="str">
        <x:v>部分確認</x:v>
      </x:c>
      <x:c r="G92" s="4" t="str">
        <x:v>自動</x:v>
      </x:c>
      <x:c r="H92" s="4" t="str">
        <x:v>生徒・先生接続</x:v>
      </x:c>
      <x:c r="I92" s="4" t="str">
        <x:v>生徒から音声と制御を送り先生の正常操作と比較</x:v>
      </x:c>
      <x:c r="J92" s="4" t="str">
        <x:v>F-01;F-09;F-10</x:v>
      </x:c>
      <x:c r="K92" s="4" t="str">
        <x:v>server/main.py:ws_endpoint</x:v>
      </x:c>
      <x:c r="L92" s="4" t="str">
        <x:v>qa_checks/test_story_edges.py::test_safe07_student_cannot_control_or_record_or_send_audio;tests/integration/test_ws_boundary.py::TestSessionControl;tests/integration/test_recording.py::TestRecordingOn::test_indicator_broadcast_to_teacher_and_student</x:v>
      </x:c>
      <x:c r="M92" s="4" t="str">
        <x:v>pytest: pass=4, fail=0, error=0, skip=0. docs/qa/runs/20260908-112049/story-evidence.json #SAFE-07</x:v>
      </x:c>
      <x:c r="N92" s="4" t="str">
        <x:v>role=teacherを名乗るコード所有者まで防ぐ認証ではない
テスト証拠を現行sourceで再監査できないため部分確認。</x:v>
      </x:c>
      <x:c r="O92" s="4" t="str">
        <x:v>2026-09-08T11:23:44.768830+09:00</x:v>
      </x:c>
    </x:row>
    <x:row r="93" ht="114" customHeight="1">
      <x:c r="A93" s="1" t="str">
        <x:v>SAFE-08</x:v>
      </x:c>
      <x:c r="B93" s="1" t="str">
        <x:v>プライバシー</x:v>
      </x:c>
      <x:c r="C93" s="1" t="str">
        <x:v>利用者として、授業内容をインターネットへ送信したくない</x:v>
      </x:c>
      <x:c r="D93" s="1" t="str">
        <x:v>通常授業の音声・字幕・QR資源はローカル/LAN内だけで処理する</x:v>
      </x:c>
      <x:c r="E93" s="1" t="str">
        <x:v>実装あり</x:v>
      </x:c>
      <x:c r="F93" s="1" t="str">
        <x:v>部分確認</x:v>
      </x:c>
      <x:c r="G93" s="1" t="str">
        <x:v>自動補助</x:v>
      </x:c>
      <x:c r="H93" s="1" t="str">
        <x:v>モデル取得済み・通信ガード</x:v>
      </x:c>
      <x:c r="I93" s="1" t="str">
        <x:v>参加→配信→記録→再接続で外部接続0を確認</x:v>
      </x:c>
      <x:c r="J93" s="1" t="str">
        <x:v>N-03;N-07</x:v>
      </x:c>
      <x:c r="K93" s="1" t="str">
        <x:v>server;web;tests/net_guard.py</x:v>
      </x:c>
      <x:c r="L93" s="1" t="str">
        <x:v>qa_checks/test_real_model_story_e2e.py::test_asr01_real_japanese_audio_reaches_selected_languages_locally</x:v>
      </x:c>
      <x:c r="M93" s="1" t="str">
        <x:v>docs/qa/runs/20260908-062516-native-browser/browser.json #SAFE-08; native_local_only_lesson_path=pass
pytest: pass=1, fail=0, error=0, skip=0. docs/qa/runs/20260908-112049/story-evidence.json #SAFE-08
docs/qa/runs/20260908-112624-native-browser/browser.json #SAFE-08; native_local_only_lesson_path=pass</x:v>
      </x:c>
      <x:c r="N93" s="1" t="str">
        <x:v>実モデルのPython通信ガードと、実Edge/HTTP/WSの参加→配信→記録→再接続・全URL loopback限定を合成確認
テスト証拠を現行sourceで再監査できないため部分確認。</x:v>
      </x:c>
      <x:c r="O93" s="1" t="str">
        <x:v>2026-09-08T11:28:16.537329+09:00</x:v>
      </x:c>
    </x:row>
    <x:row r="94" ht="100" customHeight="1">
      <x:c r="A94" s="4" t="str">
        <x:v>SAFE-09</x:v>
      </x:c>
      <x:c r="B94" s="4" t="str">
        <x:v>運用</x:v>
      </x:c>
      <x:c r="C94" s="4" t="str">
        <x:v>運用者として、授業終了時にサーバーを止めたい</x:v>
      </x:c>
      <x:c r="D94" s="4" t="str">
        <x:v>停止処理がワーカー/送信タスクを畳み、保留翻訳があっても停止処理を無期限に待たない</x:v>
      </x:c>
      <x:c r="E94" s="4" t="str">
        <x:v>実装あり</x:v>
      </x:c>
      <x:c r="F94" s="4" t="str">
        <x:v>部分確認</x:v>
      </x:c>
      <x:c r="G94" s="4" t="str">
        <x:v>自動</x:v>
      </x:c>
      <x:c r="H94" s="4" t="str">
        <x:v>停止可能なテスト推論</x:v>
      </x:c>
      <x:c r="I94" s="4" t="str">
        <x:v>保留翻訳中にlifespanを終了</x:v>
      </x:c>
      <x:c r="J94" s="4" t="str">
        <x:v>N-08</x:v>
      </x:c>
      <x:c r="K94" s="4" t="str">
        <x:v>server/main.py:_serve;server/pipeline.py:stop</x:v>
      </x:c>
      <x:c r="L94" s="4" t="str">
        <x:v>tests/invariants/test_failure_modes.py::TestShutdown;qa_checks/test_timeout_shutdown_lifecycle.py::test_lifespan_shutdown_closes_workers_and_senders_with_pending_mt</x:v>
      </x:c>
      <x:c r="M94" s="4" t="str">
        <x:v>pytest: pass=2, fail=0, error=0, skip=0. docs/qa/runs/20260908-112049/story-evidence.json #SAFE-09</x:v>
      </x:c>
      <x:c r="N94" s="4" t="str">
        <x:v>保留MTを解放せず2秒内にlifespan終了し、全worker/ClientSender taskと管理集合が空になることを確認
テスト証拠を現行sourceで再監査できないため部分確認。</x:v>
      </x:c>
      <x:c r="O94" s="4" t="str">
        <x:v>2026-09-08T11:23:44.768830+09:00</x:v>
      </x:c>
    </x:row>
    <x:row r="95" ht="100" customHeight="1">
      <x:c r="A95" s="1" t="str">
        <x:v>PERF-01</x:v>
      </x:c>
      <x:c r="B95" s="1" t="str">
        <x:v>性能</x:v>
      </x:c>
      <x:c r="C95" s="1" t="str">
        <x:v>生徒として、授業に間に合う速さで字幕を読みたい</x:v>
      </x:c>
      <x:c r="D95" s="1" t="str">
        <x:v>学校i5・10生徒で発話終了→表示の中央値5秒以下/最大8秒以下</x:v>
      </x:c>
      <x:c r="E95" s="1" t="str">
        <x:v>実装あり</x:v>
      </x:c>
      <x:c r="F95" s="1" t="str">
        <x:v>部分確認</x:v>
      </x:c>
      <x:c r="G95" s="1" t="str">
        <x:v>実機</x:v>
      </x:c>
      <x:c r="H95" s="1" t="str">
        <x:v>学校実機・実授業音源</x:v>
      </x:c>
      <x:c r="I95" s="1" t="str">
        <x:v>45分実時間リプレイと画面到達を測定</x:v>
      </x:c>
      <x:c r="J95" s="1" t="str">
        <x:v>N-01;N-02</x:v>
      </x:c>
      <x:c r="K95" s="1" t="str">
        <x:v>scripts/replay_client.py;scripts/acceptance.py;docs/accept</x:v>
      </x:c>
      <x:c r="L95" s="1" t="str">
        <x:v>tests/unit/test_acceptance.py</x:v>
      </x:c>
      <x:c r="M95" s="1" t="str">
        <x:v>docs/qa/runs/20260907-095700-soak-final/story-evidence.json #PERF-01; hy-mt2 90.0分・10人、遅延中央値0.11秒/最大3.67秒。開発PC・合成拡張音源・Python WS、source manifest current。
pytest: pass=40, fail=0, error=0, skip=0. docs/qa/runs/20260908-112049/story-evidence.json #PERF-01</x:v>
      </x:c>
      <x:c r="N95" s="1" t="str">
        <x:v>開発PCの90分runでは遅延中央値0.11秒/最大3.67秒。合格には学校i5・実授業音源・物理ブラウザ10台で同時計測した欠落なしの2N行が必要。</x:v>
      </x:c>
      <x:c r="O95" s="1" t="str">
        <x:v>2026-09-08T11:23:44.768830+09:00</x:v>
      </x:c>
    </x:row>
    <x:row r="96" ht="165" customHeight="1">
      <x:c r="A96" s="4" t="str">
        <x:v>PERF-02</x:v>
      </x:c>
      <x:c r="B96" s="4" t="str">
        <x:v>性能</x:v>
      </x:c>
      <x:c r="C96" s="4" t="str">
        <x:v>先生として、授業中にメモリ不足になりたくない</x:v>
      </x:c>
      <x:c r="D96" s="4" t="str">
        <x:v>学校Windowsでプロセスツリー常駐メモリ5GB以下を維持する</x:v>
      </x:c>
      <x:c r="E96" s="4" t="str">
        <x:v>実装あり</x:v>
      </x:c>
      <x:c r="F96" s="4" t="str">
        <x:v>部分確認</x:v>
      </x:c>
      <x:c r="G96" s="4" t="str">
        <x:v>実機</x:v>
      </x:c>
      <x:c r="H96" s="4" t="str">
        <x:v>学校実機</x:v>
      </x:c>
      <x:c r="I96" s="4" t="str">
        <x:v>45分以上のリプレイでRSSピークを測定</x:v>
      </x:c>
      <x:c r="J96" s="4" t="str">
        <x:v>N-05</x:v>
      </x:c>
      <x:c r="K96" s="4" t="str">
        <x:v>scripts/replay_client.py;scripts/acceptance.py</x:v>
      </x:c>
      <x:c r="L96" s="4" t="str">
        <x:v>tests/unit/test_acceptance.py</x:v>
      </x:c>
      <x:c r="M96" s="4" t="str">
        <x:v>docs/qa/runs/20260907-095700-soak-final/story-evidence.json #PERF-02; hy-mt2 90.0分・10人、プロセスツリーRSSピーク2553MB・増加傾向なし・クラッシュ/エラー0。開発PC・合成拡張音源・Python WS、source manifest current。
pytest: pass=40, fail=0, error=0, skip=0. docs/qa/runs/20260908-112049/story-evidence.json #PERF-02</x:v>
      </x:c>
      <x:c r="N96" s="4" t="str">
        <x:v>開発PCの90分runではプロセスツリーRSSピーク2553MB（5GB以下）・増加傾向なし。合格には学校Windows 11/Core i5/搭載RAM 8〜16GiB・実授業音源・Python擬似生徒10名で45分以上の通常runが必要。物理ブラウザは条件外。現地validator v2はWindows APIの搭載RAM/OS可視RAM raw bytes、build/product type、レジストリCPUをrun終了後15分以内に別採取し、sealed reportと照合する。受領ゲートを含む集中回帰144件は docs/qa/runs/20260908-064255/pytest.log で成功。学校実機run自体は未実施。</x:v>
      </x:c>
      <x:c r="O96" s="4" t="str">
        <x:v>2026-09-08T11:23:44.768830+09:00</x:v>
      </x:c>
    </x:row>
    <x:row r="97" ht="165" customHeight="1">
      <x:c r="A97" s="1" t="str">
        <x:v>PERF-03</x:v>
      </x:c>
      <x:c r="B97" s="1" t="str">
        <x:v>性能</x:v>
      </x:c>
      <x:c r="C97" s="1" t="str">
        <x:v>先生として、90分授業を止めずに続けたい</x:v>
      </x:c>
      <x:c r="D97" s="1" t="str">
        <x:v>90分連続でクラッシュ・復元失敗・メモリ/タスク/ハンドル増加・遅延累積がない</x:v>
      </x:c>
      <x:c r="E97" s="1" t="str">
        <x:v>実装あり</x:v>
      </x:c>
      <x:c r="F97" s="1" t="str">
        <x:v>部分確認</x:v>
      </x:c>
      <x:c r="G97" s="1" t="str">
        <x:v>長時間</x:v>
      </x:c>
      <x:c r="H97" s="1" t="str">
        <x:v>連続90分の音源・固定接続数</x:v>
      </x:c>
      <x:c r="I97" s="1" t="str">
        <x:v>90分リプレイと時間窓別統計を確認</x:v>
      </x:c>
      <x:c r="J97" s="1" t="str">
        <x:v>N-08</x:v>
      </x:c>
      <x:c r="K97" s="1" t="str">
        <x:v>scripts/replay_client.py;scripts/acceptance.py</x:v>
      </x:c>
      <x:c r="L97" s="1" t="str">
        <x:v>tests/unit/test_acceptance.py</x:v>
      </x:c>
      <x:c r="M97" s="1" t="str">
        <x:v>docs/qa/runs/20260906-225400-soak/story-evidence.json #PERF-03; hy-mt2 90.0分 10人: 範囲内成功; 開発機・合成音源・Python WS。学校実機/実授業音源/実ブラウザは未検証。 目標時間後drain窓を除外して再監査。
docs/qa/runs/20260907-095700-soak-final/story-evidence.json #PERF-03; hy-mt2 90.0分 10人: 監査条件内成功; source manifest current。
pytest: pass=40, fail=0, error=0, skip=0. docs/qa/runs/20260908-023612/story-evidence.json #PERF-03</x:v>
      </x:c>
      <x:c r="N97" s="1" t="str">
        <x:v>source manifest付き90分runで、実sherpa＋Hy-MT2・合成拡張音源・Python WS生徒10名を5400秒＋drain完走。クラッシュ・復元失敗・時間窓欠落0、RSS・threads・handles・tasksと遅延ドリフトを監査。学校PC・実授業音源・実ブラウザ生徒は未検証
性能証拠を現行source/manifestで再監査できないため部分確認。</x:v>
      </x:c>
      <x:c r="O97" s="1" t="str">
        <x:v>2026-09-08T02:38:29.636089+09:00</x:v>
      </x:c>
    </x:row>
    <x:row r="98" ht="100" customHeight="1">
      <x:c r="A98" s="4" t="str">
        <x:v>PERF-04</x:v>
      </x:c>
      <x:c r="B98" s="4" t="str">
        <x:v>性能</x:v>
      </x:c>
      <x:c r="C98" s="4" t="str">
        <x:v>運用者として、接続人数と言語数の負荷差を知りたい</x:v>
      </x:c>
      <x:c r="D98" s="4" t="str">
        <x:v>1/10/20/40人でASR回数一定、同言語の人数でMT回数が増えない</x:v>
      </x:c>
      <x:c r="E98" s="4" t="str">
        <x:v>実装あり</x:v>
      </x:c>
      <x:c r="F98" s="4" t="str">
        <x:v>合格</x:v>
      </x:c>
      <x:c r="G98" s="4" t="str">
        <x:v>長時間</x:v>
      </x:c>
      <x:c r="H98" s="4" t="str">
        <x:v>ベンチ用音源とモデル</x:v>
      </x:c>
      <x:c r="I98" s="4" t="str">
        <x:v>scale_bench行列を実行し実/fakeモードを明記</x:v>
      </x:c>
      <x:c r="J98" s="4" t="str">
        <x:v>#32</x:v>
      </x:c>
      <x:c r="K98" s="4" t="str">
        <x:v>scripts/scale_bench.py</x:v>
      </x:c>
      <x:c r="L98" s="4" t="str">
        <x:v>tests/unit/test_scale_bench.py;tests/unit/test_call_counters.py</x:v>
      </x:c>
      <x:c r="M98" s="4" t="str">
        <x:v>pytest: pass=16, fail=0, error=0, skip=0. docs/qa/runs/20260908-023612/story-evidence.json #PERF-04
docs/qa/runs/20260908-125500-scale-refresh/story-evidence.json #PERF-04; 2.0分/点; students=1,10,20,40; langs=1,2,3,5; engine=hy-mt2; 監査条件内成功; source manifest current。</x:v>
      </x:c>
      <x:c r="N98" s="4" t="str">
        <x:v>source manifest付き16点（1/10/20/40人×1/2/3/5言語、各120秒＋drain）を完走。全点実sherpa、1/2言語は実Hy-MT2、3/5言語は明示fake MT。ASR・MT件数・連続配信・エラー0を監査
性能証拠を現行source/manifestで再監査できないため部分確認。</x:v>
      </x:c>
      <x:c r="O98" s="4" t="str">
        <x:v>2026-09-08T13:34:31.797015+09:00</x:v>
      </x:c>
    </x:row>
    <x:row r="99" ht="165" customHeight="1">
      <x:c r="A99" s="1" t="str">
        <x:v>PERF-05</x:v>
      </x:c>
      <x:c r="B99" s="1" t="str">
        <x:v>性能</x:v>
      </x:c>
      <x:c r="C99" s="1" t="str">
        <x:v>生徒として、授業中に何度切断しても字幕を復元したい</x:v>
      </x:c>
      <x:c r="D99" s="1" t="str">
        <x:v>切断注入を繰り返しても履歴範囲内の未回収seqが0、正常生徒へ影響しない</x:v>
      </x:c>
      <x:c r="E99" s="1" t="str">
        <x:v>実装あり</x:v>
      </x:c>
      <x:c r="F99" s="1" t="str">
        <x:v>部分確認</x:v>
      </x:c>
      <x:c r="G99" s="1" t="str">
        <x:v>長時間</x:v>
      </x:c>
      <x:c r="H99" s="1" t="str">
        <x:v>45分・10生徒</x:v>
      </x:c>
      <x:c r="I99" s="1" t="str">
        <x:v>60秒ごと切断注入し生徒別欠落集合を確認</x:v>
      </x:c>
      <x:c r="J99" s="1" t="str">
        <x:v>F-11;#35</x:v>
      </x:c>
      <x:c r="K99" s="1" t="str">
        <x:v>scripts/replay_client.py;scripts/acceptance.py</x:v>
      </x:c>
      <x:c r="L99" s="1" t="str">
        <x:v>tests/unit/test_disconnect_injection.py;tests/unit/test_acceptance.py</x:v>
      </x:c>
      <x:c r="M99" s="1" t="str">
        <x:v>docs/qa/runs/20260906-225400-soak/story-evidence.json #PERF-05; hy-mt2 90.0分 10人: 範囲内成功; 開発機・合成音源・Python WS。学校実機/実授業音源/実ブラウザは未検証。 目標時間後drain窓を除外して再監査。
docs/qa/runs/20260907-095700-soak-final/story-evidence.json #PERF-05; hy-mt2 90.0分 10人: 監査条件内成功; source manifest current。
pytest: pass=52, fail=0, error=0, skip=0. docs/qa/runs/20260908-023612/story-evidence.json #PERF-05</x:v>
      </x:c>
      <x:c r="N99" s="1" t="str">
        <x:v>source manifest付き90分runでPython WS生徒10名へ60秒周期の切断89回を注入し、全員各923件を欠落なく復元。最大1.531秒、再接続失敗・復元欠落0を監査。学校LAN・物理端末の瞬断は未検証
性能証拠を現行source/manifestで再監査できないため部分確認。</x:v>
      </x:c>
      <x:c r="O99" s="1" t="str">
        <x:v>2026-09-08T02:38:29.636089+09:00</x:v>
      </x:c>
    </x:row>
    <x:row r="100" ht="100" customHeight="1">
      <x:c r="A100" s="4" t="str">
        <x:v>QUAL-01</x:v>
      </x:c>
      <x:c r="B100" s="4" t="str">
        <x:v>授業品質</x:v>
      </x:c>
      <x:c r="C100" s="4" t="str">
        <x:v>生徒として、教科用語と説明の意味を正しく読みたい</x:v>
      </x:c>
      <x:c r="D100" s="4" t="str">
        <x:v>実授業30文で原文誤りと意味保持を評価し、中国語5段階平均3.5以上を目安にする</x:v>
      </x:c>
      <x:c r="E100" s="4" t="str">
        <x:v>実装あり</x:v>
      </x:c>
      <x:c r="F100" s="4" t="str">
        <x:v>部分確認</x:v>
      </x:c>
      <x:c r="G100" s="4" t="str">
        <x:v>実機</x:v>
      </x:c>
      <x:c r="H100" s="4" t="str">
        <x:v>実授業音声と内容を判断できる評価者</x:v>
      </x:c>
      <x:c r="I100" s="4" t="str">
        <x:v>理数/行事連絡・教室後方・雑音条件で対照評価</x:v>
      </x:c>
      <x:c r="J100" s="4" t="str">
        <x:v>plan §9;R-07</x:v>
      </x:c>
      <x:c r="K100" s="4" t="str">
        <x:v>docs/field-verification-checklist.md;scripts/text_metrics.py</x:v>
      </x:c>
      <x:c r="L100" s="4" t="str">
        <x:v>tests/unit/test_text_metrics.py</x:v>
      </x:c>
      <x:c r="M100" s="4" t="str">
        <x:v>pytest: pass=61, fail=0, error=0, skip=0. docs/qa/runs/20260908-112049/story-evidence.json #QUAL-01</x:v>
      </x:c>
      <x:c r="N100" s="4" t="str">
        <x:v>30行TSVのヘッダ/10列/連番/原文重複/必須翻訳/整数評点/領域・音響/中国語平均3.5境界、不正入力18種とshell fail-closedを確認。実授業由来・評価者資格・人手の意味評価は未検証。TSVとは別のsource証拠を添えて現地確認</x:v>
      </x:c>
      <x:c r="O100" s="4" t="str">
        <x:v>2026-09-08T11:23:44.768830+09:00</x:v>
      </x:c>
    </x:row>
    <x:row r="101" ht="100" customHeight="1">
      <x:c r="A101" s="1" t="str">
        <x:v>FUT-01</x:v>
      </x:c>
      <x:c r="B101" s="1" t="str">
        <x:v>将来機能</x:v>
      </x:c>
      <x:c r="C101" s="1" t="str">
        <x:v>生徒として、英中以外の母語で字幕を読みたい</x:v>
      </x:c>
      <x:c r="D101" s="1" t="str">
        <x:v>追加言語を設定し実エンジンで翻訳・参加・品質確認までできる</x:v>
      </x:c>
      <x:c r="E101" s="1" t="str">
        <x:v>未実装</x:v>
      </x:c>
      <x:c r="F101" s="1" t="str">
        <x:v>未実装</x:v>
      </x:c>
      <x:c r="G101" s="1" t="str">
        <x:v>未実装</x:v>
      </x:c>
      <x:c r="H101" s="1" t="str">
        <x:v>追加言語対応エンジン</x:v>
      </x:c>
      <x:c r="I101" s="1" t="str">
        <x:v>ベトナム語等を追加して一貫テスト</x:v>
      </x:c>
      <x:c r="J101" s="1" t="str">
        <x:v>plan Phase3;#5</x:v>
      </x:c>
      <x:c r="K101" s="1" t="str">
        <x:v>server/mt/hymt_engine.py;server/mt/nllb_engine.py</x:v>
      </x:c>
      <x:c r="L101" s="1" t="str">
        <x:v/>
      </x:c>
      <x:c r="M101" s="1" t="str">
        <x:v>静的監査: docs/qa/runs/20260908-143626-future-scope-audit/audit.json #FUT-01; audit_sha256=d326ed6273f462924565a204596698aeb572efdb5e4d5b43b796d94fbf2ebca1; 現行実装を精査し未実装を確認; test_mt_engines.py 8 passed。</x:v>
      </x:c>
      <x:c r="N101" s="1" t="str">
        <x:v>実エンジンはen/zhのみ。現行範囲と将来機能を明示</x:v>
      </x:c>
      <x:c r="O101" s="1" t="str">
        <x:v>2026-09-08T14:36:26+09:00</x:v>
      </x:c>
    </x:row>
    <x:row r="102" ht="100" customHeight="1">
      <x:c r="A102" s="4" t="str">
        <x:v>FUT-02</x:v>
      </x:c>
      <x:c r="B102" s="4" t="str">
        <x:v>将来機能</x:v>
      </x:c>
      <x:c r="C102" s="4" t="str">
        <x:v>先生として、対訳辞書で教科用語の訳を統一したい</x:v>
      </x:c>
      <x:c r="D102" s="4" t="str">
        <x:v>CSV対訳辞書をHy-MT2プロンプト/NLLB後置換に適用できる</x:v>
      </x:c>
      <x:c r="E102" s="4" t="str">
        <x:v>未実装</x:v>
      </x:c>
      <x:c r="F102" s="4" t="str">
        <x:v>未実装</x:v>
      </x:c>
      <x:c r="G102" s="4" t="str">
        <x:v>未実装</x:v>
      </x:c>
      <x:c r="H102" s="4" t="str">
        <x:v>対訳辞書</x:v>
      </x:c>
      <x:c r="I102" s="4" t="str">
        <x:v>同一用語を含む日本語を複数回翻訳して対訳を確認</x:v>
      </x:c>
      <x:c r="J102" s="4" t="str">
        <x:v>plan Phase3</x:v>
      </x:c>
      <x:c r="K102" s="4" t="str">
        <x:v>plan.md;server/mt/hymt_engine.py;server/mt/nllb_engine.py</x:v>
      </x:c>
      <x:c r="L102" s="4" t="str">
        <x:v/>
      </x:c>
      <x:c r="M102" s="4" t="str">
        <x:v>静的監査: docs/qa/runs/20260908-143626-future-scope-audit/audit.json #FUT-02; audit_sha256=d326ed6273f462924565a204596698aeb572efdb5e4d5b43b796d94fbf2ebca1; 現行実装を精査し未実装を確認; test_mt_engines.py 8 passed。</x:v>
      </x:c>
      <x:c r="N102" s="4" t="str">
        <x:v>ASR hotwordsとは別機能。翻訳対訳辞書の実装なし</x:v>
      </x:c>
      <x:c r="O102" s="4" t="str">
        <x:v>2026-09-08T14:36:26+09:00</x:v>
      </x:c>
    </x:row>
  </x:sheetData>
  <x:autoFilter ref="A6:O102"/>
  <x:mergeCells count="3">
    <x:mergeCell ref="A1:D1"/>
    <x:mergeCell ref="A3:O3"/>
    <x:mergeCell ref="A4:O4"/>
  </x:mergeCells>
  <x:dataValidations count="2">
    <x:dataValidation type="list" allowBlank="1" showInputMessage="1" showErrorMessage="1" errorTitle="検証状態" error="一覧から選択してください" sqref="F7:F102">
      <x:formula1>"未実施,合格,不合格,部分確認,実行不可,未実装"</x:formula1>
    </x:dataValidation>
    <x:dataValidation type="list" allowBlank="1" showInputMessage="1" showErrorMessage="1" sqref="E7:E102">
      <x:formula1>"実装あり,一部実装,未実装,要確認"</x:formula1>
    </x:dataValidation>
  </x:dataValidations>
  <x:pageSetup fitToWidth="1" fitToHeight="0" orientation="landscape"/>
</x:worksheet>
</file>

<file path=docProps/app.xml><?xml version="1.0" encoding="utf-8"?>
<ap:Properties xmlns:ap="http://schemas.openxmlformats.org/officeDocument/2006/extended-properties">
  <ap:Application>OfficeCLI/1.0.135</ap:Application>
</ap:Properties>
</file>

<file path=docProps/core.xml><?xml version="1.0" encoding="utf-8"?>
<cp:coreProperties xmlns:cp="http://schemas.openxmlformats.org/package/2006/metadata/core-properties" xmlns:dc="http://purl.org/dc/elements/1.1/" xmlns:dcterms="http://purl.org/dc/terms/" xmlns:xsi="http://www.w3.org/2001/XMLSchema-instance">
  <dc:creator>OfficeCLI</dc:creator>
  <dcterms:created xsi:type="dcterms:W3CDTF">2026-09-06T13:33:34Z</dcterms:created>
  <cp:lastModifiedBy>OfficeCLI</cp:lastModifiedBy>
  <dcterms:modified xsi:type="dcterms:W3CDTF">2026-09-06T13:33:34Z</dcterms:modified>
</cp:coreProperties>
</file>

<file path=docProps/custom.xml><?xml version="1.0" encoding="utf-8"?>
<op:Properties xmlns:op="http://schemas.openxmlformats.org/officeDocument/2006/custom-properties">
  <op:property fmtid="{D5CDD505-2E9C-101B-9397-08002B2CF9AE}" pid="2" name="OfficeCLI.Version">
    <vt:lpwstr xmlns:vt="http://schemas.openxmlformats.org/officeDocument/2006/docPropsVTypes">1.0.148</vt:lpwstr>
  </op:property>
  <op:property fmtid="{D5CDD505-2E9C-101B-9397-08002B2CF9AE}" pid="3" name="OfficeCLI.LastModified">
    <vt:lpwstr xmlns:vt="http://schemas.openxmlformats.org/officeDocument/2006/docPropsVTypes">2026-09-09T02:32:01Z</vt:lpwstr>
  </op:property>
</op:Properties>
</file>